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rupo ICA\Desktop\Contabilidad Grupo ICA\Inversiones Claro ARZ SpA\Banco 2025\Banco Estado\"/>
    </mc:Choice>
  </mc:AlternateContent>
  <xr:revisionPtr revIDLastSave="0" documentId="13_ncr:1_{8958281B-39FA-47D8-A108-0A87B5C7506E}" xr6:coauthVersionLast="47" xr6:coauthVersionMax="47" xr10:uidLastSave="{00000000-0000-0000-0000-000000000000}"/>
  <bookViews>
    <workbookView xWindow="-108" yWindow="-108" windowWidth="23256" windowHeight="12456" xr2:uid="{5BF6409F-2683-44C6-A03F-3D93F534B4BE}"/>
  </bookViews>
  <sheets>
    <sheet name="Movimientos" sheetId="1" r:id="rId1"/>
  </sheets>
  <externalReferences>
    <externalReference r:id="rId2"/>
    <externalReference r:id="rId3"/>
  </externalReferences>
  <definedNames>
    <definedName name="_xlnm._FilterDatabase" localSheetId="0" hidden="1">Movimientos!$A$1:$K$759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584" i="1" l="1"/>
  <c r="K585" i="1"/>
  <c r="K586" i="1"/>
  <c r="K587" i="1"/>
  <c r="K588" i="1"/>
  <c r="K589" i="1"/>
  <c r="K590" i="1"/>
  <c r="K591" i="1"/>
  <c r="K592" i="1"/>
  <c r="K593" i="1"/>
  <c r="K594" i="1"/>
  <c r="K597" i="1"/>
  <c r="K598" i="1"/>
  <c r="K599" i="1"/>
  <c r="K601" i="1"/>
  <c r="K620" i="1"/>
  <c r="K573" i="1"/>
  <c r="K574" i="1"/>
  <c r="K575" i="1"/>
  <c r="K576" i="1"/>
  <c r="K577" i="1"/>
  <c r="K578" i="1"/>
  <c r="K579" i="1"/>
  <c r="K582" i="1"/>
  <c r="K583" i="1"/>
  <c r="K602" i="1"/>
  <c r="K603" i="1"/>
  <c r="K604" i="1"/>
  <c r="K605" i="1"/>
  <c r="K606" i="1"/>
  <c r="K607" i="1"/>
  <c r="K608" i="1"/>
  <c r="K610" i="1"/>
  <c r="K612" i="1"/>
  <c r="K759" i="1" l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2" i="1"/>
  <c r="K733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32" i="1"/>
  <c r="K715" i="1"/>
  <c r="K714" i="1"/>
  <c r="K716" i="1"/>
  <c r="K711" i="1"/>
  <c r="K712" i="1"/>
  <c r="K709" i="1"/>
  <c r="K710" i="1"/>
  <c r="K708" i="1"/>
  <c r="K707" i="1"/>
  <c r="K706" i="1"/>
  <c r="K704" i="1"/>
  <c r="K703" i="1"/>
  <c r="K702" i="1"/>
  <c r="K701" i="1"/>
  <c r="K700" i="1"/>
  <c r="K699" i="1"/>
  <c r="K698" i="1"/>
  <c r="K697" i="1"/>
  <c r="K705" i="1"/>
  <c r="K696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95" i="1"/>
  <c r="K675" i="1"/>
  <c r="K674" i="1"/>
  <c r="K673" i="1"/>
  <c r="K672" i="1"/>
  <c r="K671" i="1"/>
  <c r="K676" i="1"/>
  <c r="K670" i="1"/>
  <c r="K668" i="1"/>
  <c r="K669" i="1"/>
  <c r="K666" i="1"/>
  <c r="K667" i="1"/>
  <c r="K665" i="1"/>
  <c r="K659" i="1"/>
  <c r="K658" i="1"/>
  <c r="K660" i="1"/>
  <c r="K657" i="1"/>
  <c r="K656" i="1"/>
  <c r="K655" i="1"/>
  <c r="K653" i="1"/>
  <c r="K654" i="1"/>
  <c r="K651" i="1"/>
  <c r="K650" i="1"/>
  <c r="K652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5" i="1"/>
  <c r="K634" i="1"/>
  <c r="K632" i="1"/>
  <c r="K631" i="1"/>
  <c r="K630" i="1"/>
  <c r="K629" i="1"/>
  <c r="K628" i="1"/>
  <c r="K627" i="1"/>
  <c r="K626" i="1"/>
  <c r="K624" i="1"/>
  <c r="K623" i="1"/>
  <c r="K622" i="1"/>
  <c r="K621" i="1"/>
  <c r="K619" i="1"/>
  <c r="K618" i="1"/>
  <c r="K617" i="1"/>
  <c r="K616" i="1"/>
  <c r="K615" i="1"/>
  <c r="K614" i="1"/>
  <c r="K613" i="1"/>
  <c r="K567" i="1"/>
  <c r="K566" i="1"/>
  <c r="K565" i="1"/>
  <c r="K563" i="1"/>
  <c r="K562" i="1"/>
  <c r="K561" i="1"/>
  <c r="K560" i="1"/>
  <c r="K558" i="1"/>
  <c r="K557" i="1"/>
  <c r="K556" i="1"/>
  <c r="K552" i="1"/>
  <c r="K550" i="1"/>
  <c r="K547" i="1"/>
  <c r="K546" i="1"/>
  <c r="K544" i="1"/>
  <c r="K537" i="1"/>
  <c r="K534" i="1"/>
  <c r="K531" i="1"/>
  <c r="K529" i="1"/>
  <c r="K528" i="1"/>
  <c r="K527" i="1"/>
  <c r="K525" i="1"/>
  <c r="K524" i="1"/>
  <c r="K523" i="1"/>
  <c r="K522" i="1"/>
  <c r="K520" i="1"/>
  <c r="K519" i="1"/>
  <c r="K518" i="1"/>
  <c r="K517" i="1"/>
  <c r="K509" i="1"/>
  <c r="K508" i="1"/>
  <c r="K506" i="1"/>
  <c r="K505" i="1"/>
  <c r="K504" i="1"/>
  <c r="K478" i="1"/>
  <c r="K476" i="1"/>
  <c r="K474" i="1"/>
  <c r="K469" i="1"/>
  <c r="K468" i="1"/>
  <c r="K467" i="1"/>
  <c r="K466" i="1"/>
  <c r="K465" i="1"/>
  <c r="K460" i="1"/>
  <c r="K457" i="1"/>
  <c r="K456" i="1"/>
  <c r="K455" i="1"/>
  <c r="K454" i="1"/>
  <c r="K453" i="1"/>
  <c r="K452" i="1"/>
  <c r="K451" i="1"/>
  <c r="K450" i="1"/>
  <c r="K449" i="1"/>
  <c r="K444" i="1"/>
  <c r="K443" i="1"/>
  <c r="K442" i="1"/>
  <c r="K441" i="1"/>
  <c r="K440" i="1"/>
  <c r="K439" i="1"/>
  <c r="K438" i="1"/>
  <c r="K435" i="1"/>
  <c r="K433" i="1"/>
  <c r="K432" i="1"/>
  <c r="K431" i="1"/>
  <c r="K428" i="1"/>
  <c r="K426" i="1"/>
  <c r="K425" i="1"/>
  <c r="K423" i="1"/>
  <c r="K422" i="1"/>
  <c r="K421" i="1"/>
  <c r="K414" i="1"/>
  <c r="K405" i="1"/>
  <c r="K404" i="1"/>
  <c r="K403" i="1"/>
  <c r="K402" i="1"/>
  <c r="K401" i="1"/>
  <c r="K398" i="1"/>
  <c r="K396" i="1"/>
  <c r="K394" i="1"/>
  <c r="K390" i="1"/>
  <c r="K388" i="1"/>
  <c r="K379" i="1"/>
  <c r="K378" i="1"/>
  <c r="K377" i="1"/>
  <c r="K375" i="1"/>
  <c r="K370" i="1"/>
  <c r="K368" i="1"/>
  <c r="K367" i="1"/>
  <c r="K366" i="1"/>
  <c r="K365" i="1"/>
  <c r="K357" i="1"/>
  <c r="K355" i="1"/>
  <c r="K354" i="1"/>
  <c r="K349" i="1"/>
  <c r="K348" i="1"/>
  <c r="K347" i="1"/>
  <c r="K346" i="1"/>
  <c r="K343" i="1"/>
  <c r="K342" i="1"/>
  <c r="K338" i="1"/>
  <c r="K337" i="1"/>
  <c r="K336" i="1"/>
  <c r="K335" i="1"/>
  <c r="K334" i="1"/>
  <c r="K331" i="1"/>
  <c r="K329" i="1"/>
  <c r="K327" i="1"/>
  <c r="K322" i="1"/>
  <c r="K321" i="1"/>
  <c r="K319" i="1"/>
  <c r="K315" i="1"/>
  <c r="K314" i="1"/>
  <c r="K313" i="1"/>
  <c r="K312" i="1"/>
  <c r="K310" i="1"/>
  <c r="K308" i="1"/>
  <c r="K307" i="1"/>
  <c r="K306" i="1"/>
  <c r="K304" i="1"/>
  <c r="K303" i="1"/>
  <c r="K301" i="1"/>
  <c r="K300" i="1"/>
  <c r="K298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4" i="1"/>
  <c r="K272" i="1"/>
  <c r="K270" i="1"/>
  <c r="K269" i="1"/>
  <c r="K267" i="1"/>
  <c r="K266" i="1"/>
  <c r="K265" i="1"/>
  <c r="K264" i="1"/>
  <c r="K263" i="1"/>
  <c r="K262" i="1"/>
  <c r="K261" i="1"/>
  <c r="K260" i="1"/>
  <c r="K259" i="1"/>
  <c r="K258" i="1"/>
  <c r="K256" i="1"/>
  <c r="K255" i="1"/>
  <c r="K251" i="1"/>
  <c r="K248" i="1"/>
  <c r="K247" i="1"/>
  <c r="K245" i="1"/>
  <c r="K240" i="1"/>
  <c r="K237" i="1"/>
  <c r="K236" i="1"/>
  <c r="K235" i="1"/>
  <c r="K232" i="1"/>
  <c r="K229" i="1"/>
  <c r="K228" i="1"/>
  <c r="K227" i="1"/>
  <c r="K226" i="1"/>
  <c r="K225" i="1"/>
  <c r="K224" i="1"/>
  <c r="K223" i="1"/>
  <c r="K219" i="1"/>
  <c r="K218" i="1"/>
  <c r="K217" i="1"/>
  <c r="K215" i="1"/>
  <c r="K213" i="1"/>
  <c r="K212" i="1"/>
  <c r="K211" i="1"/>
  <c r="K210" i="1"/>
  <c r="K209" i="1"/>
  <c r="K208" i="1"/>
  <c r="K207" i="1"/>
  <c r="K203" i="1"/>
  <c r="K202" i="1"/>
  <c r="K200" i="1"/>
  <c r="K186" i="1"/>
  <c r="K185" i="1"/>
  <c r="K184" i="1"/>
  <c r="K182" i="1"/>
  <c r="K180" i="1"/>
  <c r="K176" i="1"/>
  <c r="K175" i="1"/>
  <c r="K173" i="1"/>
  <c r="K170" i="1"/>
  <c r="K169" i="1"/>
  <c r="K168" i="1"/>
  <c r="K166" i="1"/>
  <c r="K165" i="1"/>
  <c r="K164" i="1"/>
  <c r="K163" i="1"/>
  <c r="K162" i="1"/>
  <c r="K161" i="1"/>
  <c r="K159" i="1"/>
  <c r="K158" i="1"/>
  <c r="K157" i="1"/>
  <c r="K156" i="1"/>
  <c r="K152" i="1"/>
  <c r="K149" i="1"/>
  <c r="K148" i="1"/>
  <c r="K145" i="1"/>
  <c r="K142" i="1"/>
  <c r="K141" i="1"/>
  <c r="K138" i="1"/>
  <c r="K136" i="1"/>
  <c r="K134" i="1"/>
  <c r="K132" i="1"/>
  <c r="K126" i="1"/>
  <c r="K124" i="1"/>
  <c r="K123" i="1"/>
  <c r="K122" i="1"/>
  <c r="K121" i="1"/>
  <c r="K120" i="1"/>
  <c r="K119" i="1"/>
  <c r="K118" i="1"/>
  <c r="K117" i="1"/>
  <c r="K116" i="1"/>
  <c r="K115" i="1"/>
  <c r="K114" i="1"/>
  <c r="K102" i="1"/>
  <c r="K101" i="1"/>
  <c r="K99" i="1"/>
  <c r="K98" i="1"/>
  <c r="K97" i="1"/>
  <c r="K95" i="1"/>
  <c r="K94" i="1"/>
  <c r="K93" i="1"/>
  <c r="K92" i="1"/>
  <c r="K91" i="1"/>
  <c r="K88" i="1"/>
  <c r="K83" i="1"/>
  <c r="K86" i="1"/>
  <c r="K82" i="1"/>
  <c r="K81" i="1"/>
  <c r="K79" i="1"/>
  <c r="K80" i="1"/>
  <c r="K77" i="1"/>
  <c r="K76" i="1"/>
  <c r="K78" i="1"/>
  <c r="K72" i="1"/>
  <c r="K71" i="1"/>
  <c r="K73" i="1"/>
  <c r="K70" i="1"/>
  <c r="K69" i="1"/>
  <c r="K68" i="1"/>
  <c r="K66" i="1"/>
  <c r="K64" i="1"/>
  <c r="K63" i="1"/>
  <c r="K62" i="1"/>
  <c r="K61" i="1"/>
  <c r="K60" i="1"/>
  <c r="K58" i="1"/>
  <c r="K57" i="1"/>
  <c r="K56" i="1"/>
  <c r="K55" i="1"/>
  <c r="K54" i="1"/>
  <c r="K53" i="1"/>
  <c r="K65" i="1"/>
  <c r="K51" i="1"/>
  <c r="K50" i="1"/>
  <c r="K49" i="1"/>
  <c r="K48" i="1"/>
  <c r="K46" i="1"/>
  <c r="K45" i="1"/>
  <c r="K52" i="1"/>
  <c r="K40" i="1"/>
  <c r="K39" i="1"/>
  <c r="K38" i="1"/>
  <c r="K35" i="1"/>
  <c r="K34" i="1"/>
  <c r="K27" i="1"/>
  <c r="K26" i="1"/>
  <c r="K25" i="1"/>
  <c r="K24" i="1"/>
  <c r="K20" i="1"/>
  <c r="K18" i="1"/>
  <c r="K17" i="1"/>
  <c r="K16" i="1"/>
  <c r="K14" i="1"/>
  <c r="K13" i="1"/>
  <c r="K12" i="1"/>
  <c r="K15" i="1"/>
  <c r="K10" i="1"/>
  <c r="K9" i="1"/>
  <c r="K8" i="1"/>
  <c r="K7" i="1"/>
  <c r="K11" i="1"/>
  <c r="K6" i="1"/>
  <c r="K5" i="1"/>
  <c r="F764" i="1" l="1"/>
  <c r="K536" i="1"/>
  <c r="K463" i="1"/>
  <c r="K462" i="1"/>
  <c r="K446" i="1"/>
  <c r="K436" i="1"/>
  <c r="K361" i="1"/>
  <c r="K339" i="1"/>
  <c r="K309" i="1"/>
  <c r="K305" i="1"/>
  <c r="K296" i="1"/>
  <c r="K273" i="1"/>
  <c r="K257" i="1"/>
  <c r="K254" i="1"/>
  <c r="K253" i="1"/>
  <c r="K252" i="1"/>
  <c r="K205" i="1"/>
  <c r="K195" i="1"/>
  <c r="K194" i="1"/>
  <c r="K181" i="1"/>
  <c r="K172" i="1"/>
  <c r="K362" i="1"/>
  <c r="K358" i="1"/>
  <c r="K514" i="1"/>
  <c r="K459" i="1"/>
  <c r="K458" i="1"/>
  <c r="K448" i="1"/>
  <c r="K437" i="1"/>
  <c r="K430" i="1"/>
  <c r="K429" i="1"/>
  <c r="K427" i="1"/>
  <c r="K424" i="1"/>
  <c r="K420" i="1"/>
  <c r="K418" i="1"/>
  <c r="K417" i="1"/>
  <c r="K416" i="1"/>
  <c r="K415" i="1"/>
  <c r="K413" i="1"/>
  <c r="K411" i="1"/>
  <c r="K410" i="1"/>
  <c r="K409" i="1"/>
  <c r="K408" i="1"/>
  <c r="K407" i="1"/>
  <c r="K406" i="1"/>
  <c r="K400" i="1"/>
  <c r="K399" i="1"/>
  <c r="K395" i="1"/>
  <c r="K393" i="1"/>
  <c r="K392" i="1"/>
  <c r="K389" i="1"/>
  <c r="K387" i="1"/>
  <c r="K386" i="1"/>
  <c r="K385" i="1"/>
  <c r="K382" i="1"/>
  <c r="K381" i="1"/>
  <c r="K380" i="1"/>
  <c r="K374" i="1"/>
  <c r="K373" i="1"/>
  <c r="K372" i="1"/>
  <c r="K371" i="1"/>
  <c r="K369" i="1"/>
  <c r="K360" i="1"/>
  <c r="K359" i="1"/>
  <c r="K447" i="1"/>
  <c r="K384" i="1"/>
  <c r="K383" i="1"/>
  <c r="K351" i="1"/>
  <c r="K345" i="1"/>
  <c r="K341" i="1"/>
  <c r="K333" i="1"/>
  <c r="K332" i="1"/>
  <c r="K330" i="1"/>
  <c r="K328" i="1"/>
  <c r="K325" i="1"/>
  <c r="K324" i="1"/>
  <c r="K323" i="1"/>
  <c r="K318" i="1"/>
  <c r="K317" i="1"/>
  <c r="K316" i="1"/>
  <c r="K21" i="1"/>
  <c r="K713" i="1"/>
  <c r="K633" i="1"/>
  <c r="K625" i="1"/>
  <c r="K535" i="1"/>
  <c r="K475" i="1"/>
  <c r="K472" i="1"/>
  <c r="K549" i="1"/>
  <c r="K548" i="1"/>
  <c r="K543" i="1"/>
  <c r="K542" i="1"/>
  <c r="K539" i="1"/>
  <c r="K559" i="1"/>
  <c r="K555" i="1"/>
  <c r="K554" i="1"/>
  <c r="K553" i="1"/>
</calcChain>
</file>

<file path=xl/sharedStrings.xml><?xml version="1.0" encoding="utf-8"?>
<sst xmlns="http://schemas.openxmlformats.org/spreadsheetml/2006/main" count="2350" uniqueCount="502">
  <si>
    <t>Fecha</t>
  </si>
  <si>
    <t>N° Cartola</t>
  </si>
  <si>
    <t>N° Operación</t>
  </si>
  <si>
    <t>Descripción</t>
  </si>
  <si>
    <t>Cargos</t>
  </si>
  <si>
    <t>Abonos</t>
  </si>
  <si>
    <t>Saldo</t>
  </si>
  <si>
    <t>Clasificacion</t>
  </si>
  <si>
    <t>02/01</t>
  </si>
  <si>
    <t>TEF DE PEREZ GONZALEZ AQUILES EDUAR</t>
  </si>
  <si>
    <t>Agente de Aduana</t>
  </si>
  <si>
    <t>TEF DE PROGARANTIA SAGR</t>
  </si>
  <si>
    <t>TEF DE INVERSIONES CLARO ARZ SPA</t>
  </si>
  <si>
    <t>Traspaso Banco Security</t>
  </si>
  <si>
    <t>COMPRA FERRETERIA C CL</t>
  </si>
  <si>
    <t>Proveedor</t>
  </si>
  <si>
    <t>COMPRA SODIMAC TALA CL</t>
  </si>
  <si>
    <t>TEF A CARLOS HERRERA ARREDONDO LTDA</t>
  </si>
  <si>
    <t>TEF A EKIPOTEL CHILE S A</t>
  </si>
  <si>
    <t>TEF A KHIPU SPA</t>
  </si>
  <si>
    <t>T Link</t>
  </si>
  <si>
    <t>TEF A RUT 77658134-8</t>
  </si>
  <si>
    <t>TEF A COMERCIALIZADORA  JAVIER FERR</t>
  </si>
  <si>
    <t>TEF A OBUMA SPA</t>
  </si>
  <si>
    <t>Obuma</t>
  </si>
  <si>
    <t>TEF A BRAVO CARRASCO GUILLERMO MAUR</t>
  </si>
  <si>
    <t>COMISION MANTENCION CHEQUERA ELECT</t>
  </si>
  <si>
    <t>Comision Bancaria</t>
  </si>
  <si>
    <t>TEF A ROJO MERIDA JAVIER ALEJANDRO</t>
  </si>
  <si>
    <t>TEF A RUT 77588075-9</t>
  </si>
  <si>
    <t>TEF A WANTING CHILE SPA</t>
  </si>
  <si>
    <t>TEF A EBT SPA</t>
  </si>
  <si>
    <t>PAGO CGE OFICINA VIRTUAL</t>
  </si>
  <si>
    <t>Electricidad}</t>
  </si>
  <si>
    <t>TEF BANCOESTADO A ALFARO CASTRO FRA</t>
  </si>
  <si>
    <t>05/01</t>
  </si>
  <si>
    <t>COMPRA COPEC ASISTI CL</t>
  </si>
  <si>
    <t>Combustible</t>
  </si>
  <si>
    <t>COMPRA NOTARIA PUGA CL</t>
  </si>
  <si>
    <t>Notaria</t>
  </si>
  <si>
    <t>TEF A SODIMAC SA</t>
  </si>
  <si>
    <t>06/01</t>
  </si>
  <si>
    <t>COMPRA LIMATCO PENA CL</t>
  </si>
  <si>
    <t>TEF A RUT 78246246-6</t>
  </si>
  <si>
    <t>COMPRA SODIMAC MALL CL</t>
  </si>
  <si>
    <t>COMPRA METALFER SPA CL</t>
  </si>
  <si>
    <t>07/01</t>
  </si>
  <si>
    <t>COMPRA ASIA REPUEST CL</t>
  </si>
  <si>
    <t>Proveedores</t>
  </si>
  <si>
    <t>COMPRA AQUI MASCOTA CL</t>
  </si>
  <si>
    <t>COMPRA MERCADOPAGO* CL</t>
  </si>
  <si>
    <t>TEF A COMERCIAL HOLZER SPA</t>
  </si>
  <si>
    <t>TEF BANCOESTADO A  MBM MARKET SPA</t>
  </si>
  <si>
    <t>GIRO CAJERO AUTOMATICO 07/01 13:02</t>
  </si>
  <si>
    <t>Giro Cajero</t>
  </si>
  <si>
    <t>COMPRA MINIMARKET   CL</t>
  </si>
  <si>
    <t>08/01</t>
  </si>
  <si>
    <t>GIRO POR REDBANC 07/01 20:53</t>
  </si>
  <si>
    <t>COMPRA JORGE GONZAL CL</t>
  </si>
  <si>
    <t>COMPRA SOTO GONZALE CL</t>
  </si>
  <si>
    <t>COMPRA COMERCIAL SA CL</t>
  </si>
  <si>
    <t>09/01</t>
  </si>
  <si>
    <t>COMPRA RAC SEGURIDA CL</t>
  </si>
  <si>
    <t>COMPRA FERRETERIA E CL</t>
  </si>
  <si>
    <t>TEF A PEREZ GONZALEZ AQUILES EDUARD</t>
  </si>
  <si>
    <t>Agente de Aduanas</t>
  </si>
  <si>
    <t>12/01</t>
  </si>
  <si>
    <t>COMPRA EMBOTELLADOR CL</t>
  </si>
  <si>
    <t>Agua</t>
  </si>
  <si>
    <t>TEF A RUT 78273311-7</t>
  </si>
  <si>
    <t>TEF BANCOESTADO A  SILVA FUENZALIDA</t>
  </si>
  <si>
    <t>14/01</t>
  </si>
  <si>
    <t>COMPRA FERRETERIA F CL</t>
  </si>
  <si>
    <t>15/01</t>
  </si>
  <si>
    <t>GIRO POR REDBANC 14/01 15:44</t>
  </si>
  <si>
    <t>COMPRA POINT GRAPHI CL</t>
  </si>
  <si>
    <t>16/01</t>
  </si>
  <si>
    <t>GIRO POR REDBANC 15/01 14:17</t>
  </si>
  <si>
    <t>TEF DE GONZALEZ MANZANO MARCO ANTON</t>
  </si>
  <si>
    <t>19/01</t>
  </si>
  <si>
    <t>GIRO POR REDBANC 19/01 09:25</t>
  </si>
  <si>
    <t>20/01</t>
  </si>
  <si>
    <t>TEF DE MECANICA AUTOMOTRIZ JORGE CA</t>
  </si>
  <si>
    <t>COMPRA FERRETERIA S CL</t>
  </si>
  <si>
    <t>TEF A RUT 77713725-5</t>
  </si>
  <si>
    <t>21/01</t>
  </si>
  <si>
    <t>TEF A DVP S A</t>
  </si>
  <si>
    <t>TEF A FERRETERIA HUA FAN LIMITADA</t>
  </si>
  <si>
    <t>TEF A RUT 77833552-2</t>
  </si>
  <si>
    <t>TRANSF A B. ESTADO CTA CLIENTE</t>
  </si>
  <si>
    <t>GIRO POR REDBANC 21/01 11:53</t>
  </si>
  <si>
    <t>GIRO POR REDBANC 21/01 11:52</t>
  </si>
  <si>
    <t>22/01</t>
  </si>
  <si>
    <t>COMPRA TEVICOMP LTD CL</t>
  </si>
  <si>
    <t>TEF A IMPORTADORA Y COMERCIALIZADOR</t>
  </si>
  <si>
    <t>TEF A COMERCIALIZADORA  IMPORTADORA</t>
  </si>
  <si>
    <t>TEF A QUIMICA PASSOL SA</t>
  </si>
  <si>
    <t>TEF A ELECTROCOM</t>
  </si>
  <si>
    <t>TEF A ELECTRICIDAD GUZMAN SA</t>
  </si>
  <si>
    <t>TEF A INVERSIONES Y COMERCIAL VICHU</t>
  </si>
  <si>
    <t>23/01</t>
  </si>
  <si>
    <t>TEF A SOCIEDAD COMERCIAL E INDUSTRI</t>
  </si>
  <si>
    <t>TEF A DISTRIBUIDORA TECNICA ELECTRI</t>
  </si>
  <si>
    <t>TEF A FIJACIONES SATELITE SPA</t>
  </si>
  <si>
    <t>TEF A INGENIERIA EN SERVICIOS ELECT</t>
  </si>
  <si>
    <t>TEF A DISTRIBUIDORA DE MATERIALES E</t>
  </si>
  <si>
    <t>COMPRA ELECTRICIDAD CL</t>
  </si>
  <si>
    <t>TEF A ERSE ELECTRIC SPA</t>
  </si>
  <si>
    <t>PAGO ENTEL PCS PAGO DE CUENTAS</t>
  </si>
  <si>
    <t>Celulares</t>
  </si>
  <si>
    <t>26/01</t>
  </si>
  <si>
    <t>GIRO CAJERO AUTOMATICO 23/01 16:03</t>
  </si>
  <si>
    <t>COMPRA COLACIONES M CL</t>
  </si>
  <si>
    <t>COMPRA CENTRAL PARK CL</t>
  </si>
  <si>
    <t>TEF A ALARCON SEPULVEDA PATRICIA DE</t>
  </si>
  <si>
    <t>TEF A ESCOBAR DIAZ MYRIAM ROSA INES</t>
  </si>
  <si>
    <t>TEF DE ERSE ELECTRIC SPA</t>
  </si>
  <si>
    <t>ABONO TRANSBANK TARJETA DEBITO</t>
  </si>
  <si>
    <t>Tarjeta de Credito</t>
  </si>
  <si>
    <t>COMPRA LUBBRICANTES CL</t>
  </si>
  <si>
    <t>Aceite Camioneta</t>
  </si>
  <si>
    <t>27/01</t>
  </si>
  <si>
    <t>COMPRA LA CHIQUITIT CL</t>
  </si>
  <si>
    <t>28/01</t>
  </si>
  <si>
    <t>29/01</t>
  </si>
  <si>
    <t>TEF BANCOESTADO DE BIOCLIMAS SPA</t>
  </si>
  <si>
    <t>COMPRA CONSTRUMART  CL</t>
  </si>
  <si>
    <t>COMPRA RAICES PERUA CL</t>
  </si>
  <si>
    <t>TEF A RUT 77802896-4</t>
  </si>
  <si>
    <t>TEF A EXTINTORES START FIRE Y COMPA</t>
  </si>
  <si>
    <t>TEF A FERRETERIA LAS DOS ESTRELLAS</t>
  </si>
  <si>
    <t>TEF A ARTURO TRENTINI Y COMPANIA LI</t>
  </si>
  <si>
    <t>30/01</t>
  </si>
  <si>
    <t>COMPRA NUEVA PADRE  CL</t>
  </si>
  <si>
    <t>TEF A RUT 77786555-2</t>
  </si>
  <si>
    <t>GIRO POR REDBANC 30/01 11:18</t>
  </si>
  <si>
    <t>COMPRA SUMUP * COME CL</t>
  </si>
  <si>
    <t>COMPRA RUTA 68 A LA CL</t>
  </si>
  <si>
    <t>02/02</t>
  </si>
  <si>
    <t>TEF DE CLAVERO MESSINA MANUEL JESUS</t>
  </si>
  <si>
    <t>COMPRA COPEC 40043  CL</t>
  </si>
  <si>
    <t>GIRO POR REDBANC 02/02 10:04</t>
  </si>
  <si>
    <t>03/02</t>
  </si>
  <si>
    <t>COMPRA ARAMCO       CL</t>
  </si>
  <si>
    <t>COMPRA EMOCH LTDA   CL</t>
  </si>
  <si>
    <t>COMPRA FIJSAT       CL</t>
  </si>
  <si>
    <t>TEF BANCOESTADO A  QATAR SHOP SPA</t>
  </si>
  <si>
    <t>04/02</t>
  </si>
  <si>
    <t>GIRO CAJERO AUTOMATICO 04/02 11:01</t>
  </si>
  <si>
    <t>05/02</t>
  </si>
  <si>
    <t>TEF A QUIMICA UNIVERSAL LTDA</t>
  </si>
  <si>
    <t>TEF A QUEZADA CACERES LISSETE CAROL</t>
  </si>
  <si>
    <t>06/02</t>
  </si>
  <si>
    <t>TEF A BYM IMPORTACIONES LIMITADA</t>
  </si>
  <si>
    <t>09/02</t>
  </si>
  <si>
    <t>COMPRA PRT LA PINTA CL</t>
  </si>
  <si>
    <t>TEF A RUT 76998381-3</t>
  </si>
  <si>
    <t>TEF BANCOESTADO DE HENRIQUEZ ROZAS</t>
  </si>
  <si>
    <t>PAGOS VARIOS RUT 90844000-5</t>
  </si>
  <si>
    <t>10/02</t>
  </si>
  <si>
    <t>TEF A FERRELECTRICA SPA</t>
  </si>
  <si>
    <t>11/02</t>
  </si>
  <si>
    <t>TEF A MORPH2O LATINOAMERICA SA</t>
  </si>
  <si>
    <t>TEF A HANNA INSTRUMENTS EQUIPOS LTD</t>
  </si>
  <si>
    <t>TEF A VETO Y CIA LTDA</t>
  </si>
  <si>
    <t>TEF A CORP DE RECURSOS EN TELECOMUN</t>
  </si>
  <si>
    <t>TEF BANCOESTADO A  FABRICACION Y DI</t>
  </si>
  <si>
    <t>GIRO POR REDBANC 11/02 12:13</t>
  </si>
  <si>
    <t>TEF A IMPORTADORA SOVIQUIM LIMITADA</t>
  </si>
  <si>
    <t>TEF A RUT 78005058-6</t>
  </si>
  <si>
    <t>12/02</t>
  </si>
  <si>
    <t>COMPRA IMPORTADORA  CL</t>
  </si>
  <si>
    <t>13/02</t>
  </si>
  <si>
    <t>16/02</t>
  </si>
  <si>
    <t>COMPRA VITEL VITACU CL</t>
  </si>
  <si>
    <t>TEF A DHL EXPRESS (CHILE) LIMITADA</t>
  </si>
  <si>
    <t>Importacion</t>
  </si>
  <si>
    <t>COMPRA LIBRERIA EL  CL</t>
  </si>
  <si>
    <t>COMPRA COMERCIAL BU CL</t>
  </si>
  <si>
    <t>17/02</t>
  </si>
  <si>
    <t>COMPRA PEAJE NUEVO  CL</t>
  </si>
  <si>
    <t>COMPRA COMERCIAL LA CL</t>
  </si>
  <si>
    <t>18/02</t>
  </si>
  <si>
    <t>TEF A COMERCIALIZADORA ITAMARKET EI</t>
  </si>
  <si>
    <t>TEF A IMPORTADORA TECNICA VIGNOLA S</t>
  </si>
  <si>
    <t>TEF A SCHULTZ AUTOMATIZACION E ING</t>
  </si>
  <si>
    <t>TEF A GLOBAL SUPLY SPA</t>
  </si>
  <si>
    <t>19/02</t>
  </si>
  <si>
    <t>GIRO POR REDBANC 18/02 18:53</t>
  </si>
  <si>
    <t>COMPRA FDS SANTA MA CL</t>
  </si>
  <si>
    <t>COMPRA CRUZ VERDE C CL</t>
  </si>
  <si>
    <t>20/02</t>
  </si>
  <si>
    <t>23/02</t>
  </si>
  <si>
    <t>24/02</t>
  </si>
  <si>
    <t>TEF A UNITED PARCEL SERVICE DE CHIL</t>
  </si>
  <si>
    <t>25/02</t>
  </si>
  <si>
    <t>TEF A CRUCES JEREZ MARCOS ESTEBAN</t>
  </si>
  <si>
    <t>TEF A COMERCIALIZADORA MAKTOTAL SPA</t>
  </si>
  <si>
    <t>TEF A AUSIN HNOS SA</t>
  </si>
  <si>
    <t>TEF A MARSELLA SPA</t>
  </si>
  <si>
    <t>TEF A TOKSTOCK SPA</t>
  </si>
  <si>
    <t>TEF A DH STORE SPA</t>
  </si>
  <si>
    <t>TEF A SOIN SPA</t>
  </si>
  <si>
    <t>TEF A TECHNO STORE SPA</t>
  </si>
  <si>
    <t>TEF A MGP DIVISION ARTICULOS DE ASE</t>
  </si>
  <si>
    <t>26/02</t>
  </si>
  <si>
    <t>COMPRA TECHNO PLUS  CL</t>
  </si>
  <si>
    <t>27/02</t>
  </si>
  <si>
    <t>GIRO POR REDBANC 26/02 17:38</t>
  </si>
  <si>
    <t>COMPRA TUU*HAULMER  CL</t>
  </si>
  <si>
    <t>TEF A MECHATRONICSTORE SPA</t>
  </si>
  <si>
    <t>TEF A SOCIEDAD COMERCIAL FULL BGA S</t>
  </si>
  <si>
    <t>TEF A AFEL INGENIERIA SPA</t>
  </si>
  <si>
    <t>TEF A OTILIA IRENE NOPAI MARTINEZ E</t>
  </si>
  <si>
    <t>TEF A FERRETERIA INDUSTRIAL CHILE L</t>
  </si>
  <si>
    <t>TEF A RUT 76814441-9</t>
  </si>
  <si>
    <t>COMPRA COPEC 60055  CL</t>
  </si>
  <si>
    <t>02/03</t>
  </si>
  <si>
    <t>COMPRA LA CAFETERIA CL</t>
  </si>
  <si>
    <t>TEF BANCOESTADO A RIOBO CONTRERAS M</t>
  </si>
  <si>
    <t>03/03</t>
  </si>
  <si>
    <t>GIRO POR REDBANC 02/03 14:48</t>
  </si>
  <si>
    <t>04/03</t>
  </si>
  <si>
    <t>TEF A TRANSPORTE HECTOR ALVARO JARA</t>
  </si>
  <si>
    <t>TEF A FINFAST SOCIEDAD ANONIMA DE G</t>
  </si>
  <si>
    <t>GIRO POR REDBANC 04/03 10:16</t>
  </si>
  <si>
    <t>COMPRA HIPER PENAFL CL</t>
  </si>
  <si>
    <t>05/03</t>
  </si>
  <si>
    <t>06/03</t>
  </si>
  <si>
    <t>TEF A FULLEN INTERNATIONAL CHILE SP</t>
  </si>
  <si>
    <t>09/03</t>
  </si>
  <si>
    <t>TEF A RUT 77974338-1</t>
  </si>
  <si>
    <t>TEF A CALDERARA IBAR VICTOR LEANDRO</t>
  </si>
  <si>
    <t>10/03</t>
  </si>
  <si>
    <t>TEF A YARQUEN SOLUCIONES SPA</t>
  </si>
  <si>
    <t>TEF A IMPORTADORA SENDAI LTDA</t>
  </si>
  <si>
    <t>TEF A COMERCIAL Y MECANICA MBC LIMI</t>
  </si>
  <si>
    <t>11/03</t>
  </si>
  <si>
    <t>COMPRA BATTERY MUND CL</t>
  </si>
  <si>
    <t>GIRO CAJERO AUTOMATICO 11/03 10:00</t>
  </si>
  <si>
    <t>COMPRA HIP LIDER TA CL</t>
  </si>
  <si>
    <t>12/03</t>
  </si>
  <si>
    <t>COMPRA REPUESTOS AU CL</t>
  </si>
  <si>
    <t>COMPRA ARMAFLEX     CL</t>
  </si>
  <si>
    <t>13/03</t>
  </si>
  <si>
    <t>COMPRA ITAMARKET    CL</t>
  </si>
  <si>
    <t>COMPRA COMERCIAL Y  CL</t>
  </si>
  <si>
    <t>16/03</t>
  </si>
  <si>
    <t>COMPRA SODIMAC PARQ CL</t>
  </si>
  <si>
    <t>COMPRA SABA ARAUCO  CL</t>
  </si>
  <si>
    <t>TEF A EDGE SPA</t>
  </si>
  <si>
    <t>TEF A RUT 77446357-7</t>
  </si>
  <si>
    <t>TEF A CARLOS BARRA Y COMPANIA LIMIT</t>
  </si>
  <si>
    <t>TEF BANCOESTADO A PEREZ FERRER JOSE</t>
  </si>
  <si>
    <t>TEF A IMPORTADORA Y EXPORTADORA MAS</t>
  </si>
  <si>
    <t>TEF A RUT 77304708-1</t>
  </si>
  <si>
    <t>TEF A RUT 77619278-3</t>
  </si>
  <si>
    <t>TEF A MABU S A</t>
  </si>
  <si>
    <t>17/03</t>
  </si>
  <si>
    <t>TEF A VIRTUALPOS SPA</t>
  </si>
  <si>
    <t>NN</t>
  </si>
  <si>
    <t>COMPRA SODIMAC MAIP CL</t>
  </si>
  <si>
    <t>COMPRA SODIMAC EL B CL</t>
  </si>
  <si>
    <t>18/03</t>
  </si>
  <si>
    <t>TEF A VILLAR HNOS SA</t>
  </si>
  <si>
    <t>TEF A NEUMATICOS Y LLANTAS DEL PACI</t>
  </si>
  <si>
    <t>TEF A EL CONTAINER SPA</t>
  </si>
  <si>
    <t>TEF A RUT 77562162-1</t>
  </si>
  <si>
    <t>19/03</t>
  </si>
  <si>
    <t>20/03</t>
  </si>
  <si>
    <t>TEF A MP IMPORTADORA LIMITADA</t>
  </si>
  <si>
    <t>COMPRA TUU*FERRITEC CL</t>
  </si>
  <si>
    <t>COMPRA CHILEXPRESS  CL</t>
  </si>
  <si>
    <t>Gastos Generales</t>
  </si>
  <si>
    <t>TEF A RUT 78087954-8</t>
  </si>
  <si>
    <t>TEF A CIMECH PRO SPA</t>
  </si>
  <si>
    <t>TEF BANCOESTADO A  RSCARDETAIL SPA</t>
  </si>
  <si>
    <t>23/03</t>
  </si>
  <si>
    <t>COMPRA MACROLINE    CL</t>
  </si>
  <si>
    <t>COMPRA LA PALOMA TA CL</t>
  </si>
  <si>
    <t>TEF A SOLARSTORE SPA</t>
  </si>
  <si>
    <t>TEF A COMERCIAL FERREMEL LIMITADA</t>
  </si>
  <si>
    <t>TEF A EASY RETAIL SA</t>
  </si>
  <si>
    <t>GIRO CAJERO AUTOMATICO 23/03 11:21</t>
  </si>
  <si>
    <t>TEF A FORESTAL RIO CLARO LIMITADA</t>
  </si>
  <si>
    <t>TEF A QUALITY RUBBER SA</t>
  </si>
  <si>
    <t>24/03</t>
  </si>
  <si>
    <t>TEF A PATRICIO LIOI Y COMPANIA SPA</t>
  </si>
  <si>
    <t>TEF BANCOESTADO A  AGROCOMERCIAL GA</t>
  </si>
  <si>
    <t>TEF DE KHIPU SPA</t>
  </si>
  <si>
    <t>Revision</t>
  </si>
  <si>
    <t>25/03</t>
  </si>
  <si>
    <t>TEF A RUT 77758551-7</t>
  </si>
  <si>
    <t>26/03</t>
  </si>
  <si>
    <t>COMPRA COPEC ARCOPR CL</t>
  </si>
  <si>
    <t>TEF A COMERCIAL TEJIE LTDA</t>
  </si>
  <si>
    <t>TEF A MANUFACTURAS RAC LIMITADA</t>
  </si>
  <si>
    <t>TEF A SOCIEDAD ALVAREZ DONAIRE LTSA</t>
  </si>
  <si>
    <t>TEF BANCOESTADO A  CARPAS PUBLICITA</t>
  </si>
  <si>
    <t>TEF BANCOESTADO A  ECOLOGIA Y AGUA</t>
  </si>
  <si>
    <t>COMPRA MATRIZ       CL</t>
  </si>
  <si>
    <t>TEF A IMPORTADORA Y EXPORTADORA PRO</t>
  </si>
  <si>
    <t>27/03</t>
  </si>
  <si>
    <t>COMPRA ADMINISTRADO CL</t>
  </si>
  <si>
    <t>COMPRA TUU*TOOLMIXC CL</t>
  </si>
  <si>
    <t>COMPRA FIBRA CHILE  CL</t>
  </si>
  <si>
    <t>TEF A BULBOA ARCE MARCELA PAZ</t>
  </si>
  <si>
    <t>30/03</t>
  </si>
  <si>
    <t>TEF A PARRA CERON CAROLA JEANNETTE</t>
  </si>
  <si>
    <t>TEF BANCOESTADO A  ELECTROMECANICA</t>
  </si>
  <si>
    <t>TEF BANCOESTADO A  COMERCIALIZADORA</t>
  </si>
  <si>
    <t>GIRO CAJERO AUTOMATICO 30/03 13:16</t>
  </si>
  <si>
    <t>31/03</t>
  </si>
  <si>
    <t>TEF A ALMACEN DANIZA PAMELA LEONOR</t>
  </si>
  <si>
    <t>COMPRA SOAP MUTUAL  CL Permiso circulacion</t>
  </si>
  <si>
    <t>Permiso de Circulacion</t>
  </si>
  <si>
    <t>COMPRA MUNI DE C. D CL Permiso circulacion</t>
  </si>
  <si>
    <t>01/04</t>
  </si>
  <si>
    <t>02/04</t>
  </si>
  <si>
    <t>TEF A PLASTICOS DE INGENIERIA SPA</t>
  </si>
  <si>
    <t>06/04</t>
  </si>
  <si>
    <t>COMPRA SANCHEZ Y SA CL</t>
  </si>
  <si>
    <t>COMPRA 1-PLASTICOS  CL</t>
  </si>
  <si>
    <t>07/04</t>
  </si>
  <si>
    <t>TEF A MK ASFALTOS MOLDEABLES CHILE</t>
  </si>
  <si>
    <t>GIRO POR REDBANC 07/04 13:24</t>
  </si>
  <si>
    <t>TEF A FLOW S A</t>
  </si>
  <si>
    <t>08/04</t>
  </si>
  <si>
    <t>TEF BANCOESTADO DE ECOLOGIA Y AGUA</t>
  </si>
  <si>
    <t>09/04</t>
  </si>
  <si>
    <t>GIRO POR REDBANC 09/04 11:05</t>
  </si>
  <si>
    <t>10/04</t>
  </si>
  <si>
    <t>TEF BANCOESTADO DE QATAR SHOP SPA</t>
  </si>
  <si>
    <t>13/04</t>
  </si>
  <si>
    <t>TEF A COMERCIAL Y SERVICIOS LB LIMI</t>
  </si>
  <si>
    <t>TEF A VEGA SEGURA EDGARDO FRANCISCO</t>
  </si>
  <si>
    <t>TEF A SOC COMERCIAL DE PROD IND Y S</t>
  </si>
  <si>
    <t>TEF A COMERCIALIZADORA Y SERVICIO D</t>
  </si>
  <si>
    <t>TEF A SOC COMERCIAL EQUIPOSINDUSTRI</t>
  </si>
  <si>
    <t>COMPRA MUNDOREBALLI CL</t>
  </si>
  <si>
    <t>COMPRA URBAN PARQ   CL</t>
  </si>
  <si>
    <t>14/04</t>
  </si>
  <si>
    <t>TEF BANCOESTADO A  BIOWEB SPA</t>
  </si>
  <si>
    <t>GIRO POR REDBANC 14/04 08:46</t>
  </si>
  <si>
    <t>COMPRA FERROELECTRO CL</t>
  </si>
  <si>
    <t>15/04</t>
  </si>
  <si>
    <t>COMPRA FERRELECTRIC CL</t>
  </si>
  <si>
    <t>COMPRA FERRETERIA O CL</t>
  </si>
  <si>
    <t>COMPRA COMERCIALIZA CL</t>
  </si>
  <si>
    <t>TEF A COMERC DE ART DE PROTECCION Y</t>
  </si>
  <si>
    <t>TEF A ADKAR SHOP CHILE SPA</t>
  </si>
  <si>
    <t>16/04</t>
  </si>
  <si>
    <t>GIRO CAJERO AUTOMATICO 15/04 15:14</t>
  </si>
  <si>
    <t>COMPRA AP PENAFLOR  CL</t>
  </si>
  <si>
    <t>COMPRA COM DE REPUE CL</t>
  </si>
  <si>
    <t>COMPRA COPEC 60087  CL</t>
  </si>
  <si>
    <t>17/04</t>
  </si>
  <si>
    <t>20/04</t>
  </si>
  <si>
    <t>COMPRA TRANSPORTES  CL</t>
  </si>
  <si>
    <t>GIRO CAJERO AUTOMATICO 20/04 09:58</t>
  </si>
  <si>
    <t>TEF A INSTRUMENTOS DE MEDICION Y CO</t>
  </si>
  <si>
    <t>21/04</t>
  </si>
  <si>
    <t>TEF A ASIAMERICA IMPORTACIONES Y CO</t>
  </si>
  <si>
    <t>TEF A SOC COMERCIAL FACTORYNET CHIL</t>
  </si>
  <si>
    <t>22/04</t>
  </si>
  <si>
    <t>GIRO POR REDBANC 22/04 13:22</t>
  </si>
  <si>
    <t>23/04</t>
  </si>
  <si>
    <t>24/04</t>
  </si>
  <si>
    <t>TEF A GARCIA SANCHEZ LTDA</t>
  </si>
  <si>
    <t>TEF A COMERCIAL KILMAN LIMITADA</t>
  </si>
  <si>
    <t>27/04</t>
  </si>
  <si>
    <t>COMPRA COPEC ZERVO  CL</t>
  </si>
  <si>
    <t>28/04</t>
  </si>
  <si>
    <t>TEF A ASESORIAS TRIBUTARIAS PEDRO G</t>
  </si>
  <si>
    <t>29/04</t>
  </si>
  <si>
    <t>GIRO POR REDBANC 28/04 16:39</t>
  </si>
  <si>
    <t>30/04</t>
  </si>
  <si>
    <t>TEF DE COMERCIAL KILMAN LIMITADA</t>
  </si>
  <si>
    <t>04/05</t>
  </si>
  <si>
    <t>TEF A BARRIGA GOMEZ NALDO MISAEL</t>
  </si>
  <si>
    <t>TEF A RUT 78383187-2</t>
  </si>
  <si>
    <t>05/05</t>
  </si>
  <si>
    <t>GIRO CAJERO AUTOMATICO 04/05 17:33</t>
  </si>
  <si>
    <t>TEF A FIGUEROA KEIM ESTEFANIA VICTO</t>
  </si>
  <si>
    <t>06/05</t>
  </si>
  <si>
    <t>07/05</t>
  </si>
  <si>
    <t>COMPRA SUMUP * SOCI CL</t>
  </si>
  <si>
    <t>08/05</t>
  </si>
  <si>
    <t>TEF BANCOESTADO A  RUIZ SAAVEDRA RO</t>
  </si>
  <si>
    <t>GIRO POR REDBANC 08/05 12:19</t>
  </si>
  <si>
    <t>11/05</t>
  </si>
  <si>
    <t>TEF A COMERCIAL MP SPA</t>
  </si>
  <si>
    <t>12/05</t>
  </si>
  <si>
    <t>TEF DE BUSTAMANTE MUNOZ PEREIRA REN</t>
  </si>
  <si>
    <t>13/05</t>
  </si>
  <si>
    <t>GIRO POR REDBANC 12/05 16:58</t>
  </si>
  <si>
    <t>14/05</t>
  </si>
  <si>
    <t>GIRO CAJERO AUTOMATICO 14/05 11:14</t>
  </si>
  <si>
    <t>COMPRA E L PATO SPA CL</t>
  </si>
  <si>
    <t>15/05</t>
  </si>
  <si>
    <t>TEF A PREFABRICADOS DE HORMIGON GRA</t>
  </si>
  <si>
    <t>GIRO CAJERO AUTOMATICO 15/05 13:02</t>
  </si>
  <si>
    <t>18/05</t>
  </si>
  <si>
    <t>COMPRA DISTRIBUIDOR CL</t>
  </si>
  <si>
    <t>GIRO POR REDBANC 18/05 11:38</t>
  </si>
  <si>
    <t>19/05</t>
  </si>
  <si>
    <t>GIRO CAJERO AUTOMATICO 19/05 11:41</t>
  </si>
  <si>
    <t>22/05</t>
  </si>
  <si>
    <t>TEF A PEREZ ESPINOSA LEANDRO ANTONI</t>
  </si>
  <si>
    <t>25/05</t>
  </si>
  <si>
    <t>26/05</t>
  </si>
  <si>
    <t>GIRO CAJERO AUTOMATICO 25/05 15:16</t>
  </si>
  <si>
    <t>GIRO POR REDBANC 26/05 11:57</t>
  </si>
  <si>
    <t>27/05</t>
  </si>
  <si>
    <t>28/05</t>
  </si>
  <si>
    <t>29/05</t>
  </si>
  <si>
    <t>TEF A COMERCIAL MTN CHILE LIMITADA</t>
  </si>
  <si>
    <t>TEF A COMERCIAL RTI SPA</t>
  </si>
  <si>
    <t>GIRO CAJERO AUTOMATICO 29/05 10:36</t>
  </si>
  <si>
    <t>TEF BANCOESTADO A  COMERCIAL ALFRED</t>
  </si>
  <si>
    <t>01/06</t>
  </si>
  <si>
    <t>TEF DE DISTRIBUIDORA TECNICA ELECTR</t>
  </si>
  <si>
    <t>GIRO POR REDBANC 01/06 11:28</t>
  </si>
  <si>
    <t>02/06</t>
  </si>
  <si>
    <t>03/06</t>
  </si>
  <si>
    <t>COMPRA EASY CERRILL CL</t>
  </si>
  <si>
    <t>COMPRA SENDAI LTDA  CL</t>
  </si>
  <si>
    <t>TEF A EQUIPOS DE RIEGO  SPA</t>
  </si>
  <si>
    <t>TEF A HOMEVAN SERVICES LIMITADA</t>
  </si>
  <si>
    <t>TEF A SOCIEDAD IMPORTADORA Y COMERC</t>
  </si>
  <si>
    <t>TEF A SEGURYCEL S A</t>
  </si>
  <si>
    <t>TEF A IMPORTADORA PLUSAGRO LTDA</t>
  </si>
  <si>
    <t>TEF A COOP AGR LECHERA SANTIAGO LTD</t>
  </si>
  <si>
    <t>TEF A RGM MALLAS DE ALAMBRE LIMITAD</t>
  </si>
  <si>
    <t>TEF A TRECK S A</t>
  </si>
  <si>
    <t>TEF BANCOESTADO A  DICAS FERRETERIA</t>
  </si>
  <si>
    <t>04/06</t>
  </si>
  <si>
    <t>COMPRA TRENZADURIA  CL</t>
  </si>
  <si>
    <t>COMPRA AUSIN HMNOS  CL</t>
  </si>
  <si>
    <t>COMPRA SANTIAGO     CL</t>
  </si>
  <si>
    <t>05/06</t>
  </si>
  <si>
    <t>COMPRA MARIENBERG L CL</t>
  </si>
  <si>
    <t>GIRO POR REDBANC 05/06 13:11</t>
  </si>
  <si>
    <t>COMPRA MERKDINO     CL</t>
  </si>
  <si>
    <t>TEF BANCOESTADO A  TRANSPORTES  Y S</t>
  </si>
  <si>
    <t>08/06</t>
  </si>
  <si>
    <t>09/06</t>
  </si>
  <si>
    <t>GIRO POR REDBANC 08/06 15:41</t>
  </si>
  <si>
    <t>TEF A GNC RENTAL SPA</t>
  </si>
  <si>
    <t>10/06</t>
  </si>
  <si>
    <t>TEF A EDUARDO GAMBRA ACLE TURISMO E</t>
  </si>
  <si>
    <t>TEF A MUEBLES CASELLA LIMITADA</t>
  </si>
  <si>
    <t>COMPRA ELECTRONICA  CL</t>
  </si>
  <si>
    <t>PAGO DE CUENTAS PREVIRED AFP PROVID</t>
  </si>
  <si>
    <t>PAGO DE CUENTAS FONASA</t>
  </si>
  <si>
    <t>PAGO EN LINEA DE SERVICIOS</t>
  </si>
  <si>
    <t>11/06</t>
  </si>
  <si>
    <t>TEF DE INVERSIONE...</t>
  </si>
  <si>
    <t>COMPRA COPEC ZERV...</t>
  </si>
  <si>
    <t>COMPRA MERCADOPAG...</t>
  </si>
  <si>
    <t>COMPRA FERRETERIA...</t>
  </si>
  <si>
    <t>TEF A EDUARDO GAM...</t>
  </si>
  <si>
    <t>TEF A COMERCIAL P...</t>
  </si>
  <si>
    <t>TEF A VEGA SEGURA...</t>
  </si>
  <si>
    <t>TEF BANCOESTADO A...</t>
  </si>
  <si>
    <t>TEF DE PEREZ GONZ...</t>
  </si>
  <si>
    <t>COMPRA EASY MAIPU...</t>
  </si>
  <si>
    <t>COMPRA EASY CERRI...</t>
  </si>
  <si>
    <t>COMPRA SUMUP * JO...</t>
  </si>
  <si>
    <t>GIRO POR REDBANC ...</t>
  </si>
  <si>
    <t>TEF A SOC DE SERV...</t>
  </si>
  <si>
    <t>TEF A MENESES SOT...</t>
  </si>
  <si>
    <t>COMPRA CONSTRUMAR...</t>
  </si>
  <si>
    <t>TEF A DHL EXPRES...</t>
  </si>
  <si>
    <t>**</t>
  </si>
  <si>
    <t>147-Melipilla</t>
  </si>
  <si>
    <t>121-CFT</t>
  </si>
  <si>
    <t>Revision Tecnica</t>
  </si>
  <si>
    <t>Honorarios Abogada Estefania Figueroa - Reembolsos traslados</t>
  </si>
  <si>
    <t>Estacionamiento</t>
  </si>
  <si>
    <t>OC 3703</t>
  </si>
  <si>
    <t>Rendicion Jose Perez Repuestos Camion</t>
  </si>
  <si>
    <t>F-4219 Inversiones Araya - Insumos arreglo camion</t>
  </si>
  <si>
    <t>F-13829 Repuestos Camion</t>
  </si>
  <si>
    <t>F-4098 Compra utiles de Aseo</t>
  </si>
  <si>
    <t>F 29</t>
  </si>
  <si>
    <t>OC3722 PR156 RANCAGUA</t>
  </si>
  <si>
    <t>OC3723 PR157 VALPARAISO</t>
  </si>
  <si>
    <t>ABONO OC3723 PR157-VA</t>
  </si>
  <si>
    <t>ÒC3723 PR157 VALP</t>
  </si>
  <si>
    <t>Devolucion</t>
  </si>
  <si>
    <t xml:space="preserve"> Kupfer Hnos</t>
  </si>
  <si>
    <t>Garantia</t>
  </si>
  <si>
    <t>123-Poder Judicial</t>
  </si>
  <si>
    <t>127-San Juan de la Costa</t>
  </si>
  <si>
    <t>133-El Bosque</t>
  </si>
  <si>
    <t>135-Viña del Mar</t>
  </si>
  <si>
    <t>137-Mostazal</t>
  </si>
  <si>
    <t>126-Illapel</t>
  </si>
  <si>
    <t>144-Coltauco</t>
  </si>
  <si>
    <t>136-Los Lagos</t>
  </si>
  <si>
    <t>140-Coquimbo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</si>
</sst>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38" fontId="2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38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0" xfId="0" applyFont="1"/>
    <xf numFmtId="0" fontId="5" fillId="2" borderId="0" xfId="0" applyFont="1" applyFill="1"/>
    <xf numFmtId="164" fontId="4" fillId="0" borderId="1" xfId="0" applyNumberFormat="1" applyFont="1" applyBorder="1" applyAlignment="1">
      <alignment horizontal="center" vertical="center"/>
    </xf>
    <xf numFmtId="3" fontId="5" fillId="0" borderId="0" xfId="0" applyNumberFormat="1" applyFont="1"/>
    <xf numFmtId="38" fontId="5" fillId="0" borderId="0" xfId="0" applyNumberFormat="1" applyFont="1"/>
    <xf numFmtId="0" fontId="6" fillId="0" borderId="2" xfId="0" applyFont="1" applyBorder="1"/>
    <xf numFmtId="38" fontId="4" fillId="2" borderId="1" xfId="0" applyNumberFormat="1" applyFont="1" applyFill="1" applyBorder="1" applyAlignment="1">
      <alignment horizontal="right" vertical="center"/>
    </xf>
  </cellXfs>
  <cellStyles count="2">
    <cellStyle name="Normal" xfId="0" builtinId="0"/>
    <cellStyle name="Normal 2" xfId="1" xr:uid="{76497F5D-5CC5-4EA5-800E-458A741F84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rupo%20ICA\Desktop\Contabilidad%20Grupo%20ICA\Inversiones%20Claro%20ARZ%20SpA\Banco%202025\Banco%20Estado\Cartola%20Bancoestado%2002-01-2026%20al%2030-03-2026.xlsx" TargetMode="External"/><Relationship Id="rId1" Type="http://schemas.openxmlformats.org/officeDocument/2006/relationships/externalLinkPath" Target="Cartola%20Bancoestado%2002-01-2026%20al%2030-03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rupo%20ICA\Desktop\Contabilidad%20Grupo%20ICA\Inversiones%20Claro%20ARZ%20SpA\Banco%202025\Banco%20Estado\Proyectos%20Banco%20vs%20Obuma%20Mayo%202026%20v2.0.xlsb" TargetMode="External"/><Relationship Id="rId1" Type="http://schemas.openxmlformats.org/officeDocument/2006/relationships/externalLinkPath" Target="Proyectos%20Banco%20vs%20Obuma%20Mayo%202026%20v2.0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tola"/>
      <sheetName val="Hoja10"/>
      <sheetName val="148-Puerto Montt"/>
      <sheetName val="146-CFT Los Rios"/>
      <sheetName val="149-Ercilla"/>
      <sheetName val="150-Chiguayante"/>
      <sheetName val="147-Melipilla"/>
      <sheetName val="141-Coquimbo"/>
      <sheetName val="145-Lago Verde"/>
      <sheetName val="121-CFT"/>
    </sheetNames>
    <sheetDataSet>
      <sheetData sheetId="0" refreshError="1"/>
      <sheetData sheetId="1" refreshError="1"/>
      <sheetData sheetId="2">
        <row r="12">
          <cell r="I12">
            <v>4290</v>
          </cell>
        </row>
      </sheetData>
      <sheetData sheetId="3">
        <row r="3">
          <cell r="I3">
            <v>1560357</v>
          </cell>
          <cell r="J3">
            <v>1311224.3697478992</v>
          </cell>
          <cell r="K3">
            <v>11037427</v>
          </cell>
          <cell r="L3">
            <v>-249132.63025210076</v>
          </cell>
          <cell r="M3">
            <v>3584</v>
          </cell>
          <cell r="N3" t="str">
            <v>CFT Los Rios</v>
          </cell>
        </row>
        <row r="4">
          <cell r="I4">
            <v>2447942</v>
          </cell>
          <cell r="J4">
            <v>2057094.117647059</v>
          </cell>
          <cell r="K4">
            <v>8589485</v>
          </cell>
          <cell r="L4">
            <v>-390847.88235294097</v>
          </cell>
          <cell r="M4">
            <v>3585</v>
          </cell>
          <cell r="N4" t="str">
            <v>CFT Los Rios</v>
          </cell>
        </row>
        <row r="5">
          <cell r="I5">
            <v>1191071</v>
          </cell>
          <cell r="J5">
            <v>1000900</v>
          </cell>
          <cell r="K5">
            <v>7398414</v>
          </cell>
          <cell r="L5">
            <v>-190171</v>
          </cell>
          <cell r="M5">
            <v>3583</v>
          </cell>
          <cell r="N5" t="str">
            <v>CFT Los Rios</v>
          </cell>
        </row>
        <row r="6">
          <cell r="I6">
            <v>74990</v>
          </cell>
          <cell r="J6">
            <v>63016.806722689078</v>
          </cell>
          <cell r="K6">
            <v>6454945</v>
          </cell>
          <cell r="L6">
            <v>-11973.193277310922</v>
          </cell>
          <cell r="M6">
            <v>3583</v>
          </cell>
          <cell r="N6" t="str">
            <v>CFT Los Rios</v>
          </cell>
        </row>
      </sheetData>
      <sheetData sheetId="4"/>
      <sheetData sheetId="5">
        <row r="2">
          <cell r="J2">
            <v>1000000</v>
          </cell>
          <cell r="K2">
            <v>840336.13445378153</v>
          </cell>
          <cell r="L2" t="str">
            <v>$10.605.562</v>
          </cell>
          <cell r="M2">
            <v>-1000000</v>
          </cell>
          <cell r="N2">
            <v>3662</v>
          </cell>
          <cell r="O2" t="str">
            <v>Chiguayante</v>
          </cell>
        </row>
        <row r="3">
          <cell r="J3">
            <v>5000000</v>
          </cell>
          <cell r="K3">
            <v>4201680.6722689075</v>
          </cell>
          <cell r="L3" t="str">
            <v>$12.604.562</v>
          </cell>
          <cell r="M3">
            <v>-5000000</v>
          </cell>
          <cell r="N3">
            <v>3662</v>
          </cell>
          <cell r="O3" t="str">
            <v>Chiguayante</v>
          </cell>
        </row>
        <row r="4">
          <cell r="J4">
            <v>3448500</v>
          </cell>
          <cell r="K4">
            <v>2897899.1596638658</v>
          </cell>
          <cell r="L4" t="str">
            <v>$5.668.473</v>
          </cell>
          <cell r="M4">
            <v>-3448500</v>
          </cell>
          <cell r="N4">
            <v>3662</v>
          </cell>
          <cell r="O4" t="str">
            <v>Chiguayante</v>
          </cell>
        </row>
        <row r="5">
          <cell r="J5">
            <v>5000000</v>
          </cell>
          <cell r="K5">
            <v>4201680.6722689075</v>
          </cell>
          <cell r="L5" t="str">
            <v>$7.604.562</v>
          </cell>
          <cell r="M5">
            <v>-5000000</v>
          </cell>
          <cell r="N5">
            <v>3662</v>
          </cell>
          <cell r="O5" t="str">
            <v>Chiguayante</v>
          </cell>
        </row>
        <row r="6">
          <cell r="J6">
            <v>1382521</v>
          </cell>
          <cell r="K6">
            <v>1161782.3529411766</v>
          </cell>
          <cell r="L6" t="str">
            <v>$9.116.973</v>
          </cell>
          <cell r="M6">
            <v>-1382521</v>
          </cell>
          <cell r="N6">
            <v>3660</v>
          </cell>
          <cell r="O6" t="str">
            <v>Chiguayante</v>
          </cell>
        </row>
        <row r="7">
          <cell r="J7">
            <v>1000</v>
          </cell>
          <cell r="K7">
            <v>840.3361344537816</v>
          </cell>
          <cell r="L7" t="str">
            <v>$10.604.562</v>
          </cell>
          <cell r="M7">
            <v>-159.6638655462184</v>
          </cell>
        </row>
        <row r="8">
          <cell r="J8">
            <v>4009537</v>
          </cell>
          <cell r="K8">
            <v>3369358.823529412</v>
          </cell>
          <cell r="L8" t="str">
            <v>$3.595.025</v>
          </cell>
          <cell r="M8">
            <v>-4009537</v>
          </cell>
          <cell r="N8">
            <v>3661</v>
          </cell>
          <cell r="O8" t="str">
            <v>Chiguayante</v>
          </cell>
        </row>
        <row r="9">
          <cell r="J9">
            <v>1000000</v>
          </cell>
          <cell r="K9">
            <v>840336.13445378153</v>
          </cell>
          <cell r="L9">
            <v>4622827</v>
          </cell>
          <cell r="N9">
            <v>3677</v>
          </cell>
          <cell r="O9" t="str">
            <v>Chiguayante</v>
          </cell>
        </row>
      </sheetData>
      <sheetData sheetId="6">
        <row r="8">
          <cell r="I8">
            <v>1000000</v>
          </cell>
          <cell r="J8">
            <v>840336.13445378153</v>
          </cell>
          <cell r="K8" t="str">
            <v>$6.436.319</v>
          </cell>
          <cell r="L8">
            <v>-1000000</v>
          </cell>
          <cell r="M8">
            <v>3616</v>
          </cell>
          <cell r="N8" t="str">
            <v>Melipilla</v>
          </cell>
        </row>
        <row r="9">
          <cell r="I9">
            <v>3105500</v>
          </cell>
          <cell r="J9">
            <v>2609663.8655462186</v>
          </cell>
          <cell r="K9" t="str">
            <v>$3.251.756</v>
          </cell>
          <cell r="L9">
            <v>-3105500</v>
          </cell>
          <cell r="M9">
            <v>3616</v>
          </cell>
          <cell r="N9" t="str">
            <v>Melipilla</v>
          </cell>
        </row>
        <row r="10">
          <cell r="I10">
            <v>4105500</v>
          </cell>
          <cell r="J10">
            <v>3450000</v>
          </cell>
          <cell r="K10" t="str">
            <v>$5.393.605</v>
          </cell>
          <cell r="L10">
            <v>-4105500</v>
          </cell>
          <cell r="M10">
            <v>3616</v>
          </cell>
          <cell r="N10" t="str">
            <v>Melipilla</v>
          </cell>
        </row>
        <row r="11">
          <cell r="I11">
            <v>345100</v>
          </cell>
          <cell r="J11">
            <v>290000</v>
          </cell>
          <cell r="K11" t="str">
            <v>$10.718.540</v>
          </cell>
          <cell r="L11">
            <v>-345100</v>
          </cell>
          <cell r="M11">
            <v>3663</v>
          </cell>
          <cell r="N11" t="str">
            <v>Melipilla</v>
          </cell>
        </row>
        <row r="12">
          <cell r="I12">
            <v>345100</v>
          </cell>
          <cell r="J12">
            <v>290000</v>
          </cell>
          <cell r="M12">
            <v>3645</v>
          </cell>
          <cell r="N12" t="str">
            <v>Melipilla</v>
          </cell>
        </row>
        <row r="13">
          <cell r="I13">
            <v>45980.409999999996</v>
          </cell>
          <cell r="J13">
            <v>38639</v>
          </cell>
          <cell r="M13">
            <v>3623</v>
          </cell>
          <cell r="N13" t="str">
            <v>Melipilla</v>
          </cell>
        </row>
      </sheetData>
      <sheetData sheetId="7">
        <row r="2">
          <cell r="H2">
            <v>61710</v>
          </cell>
          <cell r="I2">
            <v>51857.142857142862</v>
          </cell>
          <cell r="J2">
            <v>666678</v>
          </cell>
          <cell r="K2">
            <v>-61710</v>
          </cell>
          <cell r="L2">
            <v>3537</v>
          </cell>
          <cell r="M2" t="str">
            <v>Coquimbo Muebles</v>
          </cell>
        </row>
        <row r="3">
          <cell r="H3">
            <v>672340</v>
          </cell>
          <cell r="I3">
            <v>564991.59663865552</v>
          </cell>
          <cell r="J3">
            <v>6058940</v>
          </cell>
          <cell r="K3">
            <v>-672340</v>
          </cell>
          <cell r="L3">
            <v>3537</v>
          </cell>
          <cell r="M3" t="str">
            <v>Coquimbo Muebles</v>
          </cell>
        </row>
        <row r="4">
          <cell r="H4">
            <v>500000</v>
          </cell>
          <cell r="I4">
            <v>420168.06722689077</v>
          </cell>
          <cell r="J4">
            <v>6632380</v>
          </cell>
          <cell r="K4">
            <v>-500000</v>
          </cell>
          <cell r="L4">
            <v>3537</v>
          </cell>
          <cell r="M4" t="str">
            <v>Coquimbo Muebles</v>
          </cell>
        </row>
        <row r="5">
          <cell r="H5">
            <v>365520</v>
          </cell>
          <cell r="I5">
            <v>307159.66386554623</v>
          </cell>
          <cell r="J5">
            <v>1719178</v>
          </cell>
          <cell r="K5">
            <v>-365520</v>
          </cell>
          <cell r="L5">
            <v>3533</v>
          </cell>
          <cell r="M5" t="str">
            <v>Coquimbo Muebles</v>
          </cell>
        </row>
        <row r="6">
          <cell r="H6">
            <v>365520</v>
          </cell>
          <cell r="I6">
            <v>307159.66386554623</v>
          </cell>
          <cell r="J6" t="str">
            <v>$7.704.057</v>
          </cell>
          <cell r="K6">
            <v>-365520</v>
          </cell>
          <cell r="L6">
            <v>3533</v>
          </cell>
          <cell r="M6" t="str">
            <v>Coquimbo Muebles</v>
          </cell>
        </row>
        <row r="7">
          <cell r="H7">
            <v>450000</v>
          </cell>
          <cell r="I7">
            <v>378151.26050420169</v>
          </cell>
          <cell r="J7">
            <v>1766547</v>
          </cell>
          <cell r="K7">
            <v>-450000</v>
          </cell>
          <cell r="L7">
            <v>3536</v>
          </cell>
          <cell r="M7" t="str">
            <v>Coquimbo Muebles</v>
          </cell>
        </row>
        <row r="8">
          <cell r="H8">
            <v>537898</v>
          </cell>
          <cell r="I8">
            <v>452015.12605042016</v>
          </cell>
          <cell r="J8">
            <v>7996380</v>
          </cell>
          <cell r="K8">
            <v>-537898</v>
          </cell>
          <cell r="L8">
            <v>3539</v>
          </cell>
          <cell r="M8" t="str">
            <v>Coquimbo Muebles</v>
          </cell>
        </row>
        <row r="9">
          <cell r="H9">
            <v>795717</v>
          </cell>
          <cell r="I9">
            <v>668669.74789915967</v>
          </cell>
          <cell r="J9">
            <v>5227523</v>
          </cell>
          <cell r="K9">
            <v>-795717</v>
          </cell>
          <cell r="L9">
            <v>3534</v>
          </cell>
          <cell r="M9" t="str">
            <v>Coquimbo Muebles</v>
          </cell>
        </row>
        <row r="10">
          <cell r="H10">
            <v>1000000</v>
          </cell>
          <cell r="I10">
            <v>840336.13445378153</v>
          </cell>
          <cell r="J10">
            <v>2084698</v>
          </cell>
          <cell r="K10">
            <v>-1000000</v>
          </cell>
          <cell r="L10">
            <v>3534</v>
          </cell>
          <cell r="M10" t="str">
            <v>Coquimbo Muebles</v>
          </cell>
        </row>
        <row r="11">
          <cell r="H11">
            <v>1795718</v>
          </cell>
          <cell r="I11">
            <v>1509006.7226890756</v>
          </cell>
          <cell r="J11">
            <v>5790616</v>
          </cell>
          <cell r="K11">
            <v>-1795718</v>
          </cell>
          <cell r="L11">
            <v>3534</v>
          </cell>
          <cell r="M11" t="str">
            <v>Coquimbo Muebles</v>
          </cell>
        </row>
        <row r="12">
          <cell r="H12">
            <v>864000</v>
          </cell>
          <cell r="I12">
            <v>726050.42016806721</v>
          </cell>
          <cell r="J12">
            <v>7132380</v>
          </cell>
          <cell r="K12">
            <v>-864000</v>
          </cell>
          <cell r="L12">
            <v>3538</v>
          </cell>
          <cell r="M12" t="str">
            <v>Coquimbo Muebles</v>
          </cell>
        </row>
        <row r="13">
          <cell r="H13">
            <v>860857</v>
          </cell>
          <cell r="I13">
            <v>723409.24369747902</v>
          </cell>
          <cell r="J13">
            <v>3615923</v>
          </cell>
          <cell r="K13">
            <v>-860857</v>
          </cell>
          <cell r="L13">
            <v>3540</v>
          </cell>
          <cell r="M13" t="str">
            <v>Coquimbo Muebles</v>
          </cell>
        </row>
        <row r="14">
          <cell r="H14">
            <v>862858</v>
          </cell>
          <cell r="I14">
            <v>725090.7563025211</v>
          </cell>
          <cell r="J14" t="str">
            <v>$8.069.577</v>
          </cell>
          <cell r="K14">
            <v>-862858</v>
          </cell>
          <cell r="L14">
            <v>3540</v>
          </cell>
          <cell r="M14" t="str">
            <v>Coquimbo Muebles</v>
          </cell>
        </row>
        <row r="15">
          <cell r="H15">
            <v>4228502</v>
          </cell>
          <cell r="I15">
            <v>3553363.0252100844</v>
          </cell>
          <cell r="J15">
            <v>3084698</v>
          </cell>
          <cell r="K15">
            <v>-4228502</v>
          </cell>
          <cell r="L15">
            <v>3535</v>
          </cell>
          <cell r="M15" t="str">
            <v>Coquimbo Muebles</v>
          </cell>
        </row>
        <row r="16">
          <cell r="I16">
            <v>293337</v>
          </cell>
          <cell r="L16">
            <v>3541</v>
          </cell>
          <cell r="M16" t="str">
            <v>Coquimbo Muebles</v>
          </cell>
        </row>
        <row r="20">
          <cell r="I20">
            <v>655437</v>
          </cell>
          <cell r="L20">
            <v>3631</v>
          </cell>
          <cell r="M20" t="str">
            <v>Coquimbo Muebles</v>
          </cell>
        </row>
        <row r="23">
          <cell r="I23">
            <v>395773</v>
          </cell>
          <cell r="L23">
            <v>3630</v>
          </cell>
          <cell r="M23" t="str">
            <v>Coquimbo Muebles</v>
          </cell>
        </row>
        <row r="24">
          <cell r="I24">
            <v>2473832</v>
          </cell>
          <cell r="L24">
            <v>3630</v>
          </cell>
          <cell r="M24" t="str">
            <v>Coquimbo Muebles</v>
          </cell>
        </row>
        <row r="25">
          <cell r="H25">
            <v>892500</v>
          </cell>
          <cell r="I25">
            <v>750000</v>
          </cell>
          <cell r="J25" t="str">
            <v>$2.060.742</v>
          </cell>
          <cell r="K25">
            <v>-142500</v>
          </cell>
          <cell r="L25">
            <v>3569</v>
          </cell>
          <cell r="M25" t="str">
            <v>Coquimbo Muebles</v>
          </cell>
        </row>
        <row r="26">
          <cell r="H26">
            <v>11781</v>
          </cell>
          <cell r="I26">
            <v>9900</v>
          </cell>
          <cell r="J26">
            <v>4476780</v>
          </cell>
          <cell r="K26">
            <v>-1881</v>
          </cell>
          <cell r="L26">
            <v>3539</v>
          </cell>
          <cell r="M26" t="str">
            <v>Coquimbo Muebles</v>
          </cell>
        </row>
      </sheetData>
      <sheetData sheetId="8">
        <row r="3">
          <cell r="J3">
            <v>12995</v>
          </cell>
          <cell r="K3">
            <v>10920.16806722689</v>
          </cell>
          <cell r="L3" t="str">
            <v>$1.339.295</v>
          </cell>
          <cell r="M3">
            <v>-12995</v>
          </cell>
          <cell r="N3">
            <v>3614</v>
          </cell>
          <cell r="O3" t="str">
            <v>Lago Verde</v>
          </cell>
        </row>
        <row r="4">
          <cell r="J4">
            <v>13580</v>
          </cell>
          <cell r="K4">
            <v>11411.764705882353</v>
          </cell>
          <cell r="L4">
            <v>13580</v>
          </cell>
          <cell r="M4">
            <v>-2168.2352941176468</v>
          </cell>
          <cell r="N4">
            <v>3650</v>
          </cell>
          <cell r="O4" t="str">
            <v>Lago Verde</v>
          </cell>
        </row>
        <row r="5">
          <cell r="J5">
            <v>34950</v>
          </cell>
          <cell r="K5">
            <v>29369.747899159665</v>
          </cell>
          <cell r="L5">
            <v>34950</v>
          </cell>
          <cell r="M5">
            <v>-5580.2521008403346</v>
          </cell>
          <cell r="N5">
            <v>3649</v>
          </cell>
          <cell r="O5" t="str">
            <v>Lago Verde</v>
          </cell>
        </row>
        <row r="6">
          <cell r="J6">
            <v>35940</v>
          </cell>
          <cell r="K6">
            <v>30201.680672268911</v>
          </cell>
          <cell r="L6">
            <v>35940</v>
          </cell>
          <cell r="M6">
            <v>-5738.3193277310893</v>
          </cell>
          <cell r="N6">
            <v>3683</v>
          </cell>
          <cell r="O6" t="str">
            <v>Lago Verde</v>
          </cell>
        </row>
        <row r="7">
          <cell r="J7">
            <v>29959</v>
          </cell>
          <cell r="K7">
            <v>25175.63025210084</v>
          </cell>
          <cell r="L7">
            <v>29959</v>
          </cell>
          <cell r="M7">
            <v>-4783.3697478991598</v>
          </cell>
          <cell r="N7">
            <v>3682</v>
          </cell>
          <cell r="O7" t="str">
            <v>Lago Verde</v>
          </cell>
        </row>
        <row r="8">
          <cell r="J8">
            <v>53550</v>
          </cell>
          <cell r="K8">
            <v>45000</v>
          </cell>
          <cell r="L8">
            <v>53550</v>
          </cell>
          <cell r="M8">
            <v>-8550</v>
          </cell>
          <cell r="N8">
            <v>3550</v>
          </cell>
          <cell r="O8" t="str">
            <v>Lago Verde</v>
          </cell>
        </row>
        <row r="9">
          <cell r="J9">
            <v>37961</v>
          </cell>
          <cell r="K9">
            <v>31900</v>
          </cell>
          <cell r="L9" t="str">
            <v>$1.301.334</v>
          </cell>
          <cell r="M9">
            <v>-37961</v>
          </cell>
          <cell r="N9">
            <v>3615</v>
          </cell>
          <cell r="O9" t="str">
            <v>Lago Verde</v>
          </cell>
        </row>
        <row r="10">
          <cell r="J10">
            <v>38980</v>
          </cell>
          <cell r="K10">
            <v>32756.302521008405</v>
          </cell>
          <cell r="L10">
            <v>38980</v>
          </cell>
          <cell r="M10">
            <v>-6223.6974789915948</v>
          </cell>
          <cell r="N10">
            <v>3592</v>
          </cell>
          <cell r="O10" t="str">
            <v>Lago Verde</v>
          </cell>
        </row>
        <row r="11">
          <cell r="J11">
            <v>47600</v>
          </cell>
          <cell r="K11">
            <v>40000</v>
          </cell>
          <cell r="L11">
            <v>47600</v>
          </cell>
          <cell r="M11">
            <v>-7600</v>
          </cell>
          <cell r="N11">
            <v>3657</v>
          </cell>
          <cell r="O11" t="str">
            <v>Lago Verde</v>
          </cell>
        </row>
        <row r="12">
          <cell r="J12">
            <v>48798</v>
          </cell>
          <cell r="K12">
            <v>41006.722689075636</v>
          </cell>
          <cell r="N12">
            <v>3589</v>
          </cell>
          <cell r="O12" t="str">
            <v>Lago Verde</v>
          </cell>
        </row>
        <row r="13">
          <cell r="J13">
            <v>58410</v>
          </cell>
          <cell r="K13">
            <v>49084</v>
          </cell>
          <cell r="L13">
            <v>58410</v>
          </cell>
          <cell r="M13">
            <v>-9326</v>
          </cell>
          <cell r="N13">
            <v>3672</v>
          </cell>
          <cell r="O13" t="str">
            <v>Lago Verde</v>
          </cell>
        </row>
        <row r="14">
          <cell r="J14">
            <v>59809</v>
          </cell>
          <cell r="K14">
            <v>50260</v>
          </cell>
          <cell r="L14">
            <v>7416295</v>
          </cell>
          <cell r="M14">
            <v>-59809</v>
          </cell>
          <cell r="N14">
            <v>3546</v>
          </cell>
          <cell r="O14" t="str">
            <v>Lago Verde</v>
          </cell>
        </row>
        <row r="15">
          <cell r="J15">
            <v>60064</v>
          </cell>
          <cell r="K15">
            <v>50474</v>
          </cell>
          <cell r="L15">
            <v>60064</v>
          </cell>
          <cell r="M15">
            <v>-9590</v>
          </cell>
          <cell r="N15">
            <v>3672</v>
          </cell>
          <cell r="O15" t="str">
            <v>Lago Verde</v>
          </cell>
        </row>
        <row r="16">
          <cell r="J16">
            <v>64090</v>
          </cell>
          <cell r="K16">
            <v>53857</v>
          </cell>
          <cell r="L16" t="str">
            <v>$11.253.221</v>
          </cell>
          <cell r="M16">
            <v>-64090</v>
          </cell>
          <cell r="N16">
            <v>3651</v>
          </cell>
          <cell r="O16" t="str">
            <v>Lago Verde</v>
          </cell>
        </row>
        <row r="17">
          <cell r="J17">
            <v>71400</v>
          </cell>
          <cell r="K17">
            <v>60000</v>
          </cell>
          <cell r="L17" t="str">
            <v>$1.989.342</v>
          </cell>
          <cell r="M17">
            <v>-71400</v>
          </cell>
          <cell r="N17">
            <v>3570</v>
          </cell>
          <cell r="O17" t="str">
            <v>Lago Verde</v>
          </cell>
        </row>
        <row r="18">
          <cell r="J18">
            <v>103440</v>
          </cell>
          <cell r="K18">
            <v>86924</v>
          </cell>
          <cell r="L18">
            <v>103440</v>
          </cell>
          <cell r="M18">
            <v>-16516</v>
          </cell>
          <cell r="N18">
            <v>3672</v>
          </cell>
          <cell r="O18" t="str">
            <v>Lago Verde</v>
          </cell>
        </row>
        <row r="19">
          <cell r="J19">
            <v>108643</v>
          </cell>
          <cell r="K19">
            <v>91297</v>
          </cell>
          <cell r="L19" t="str">
            <v>$10.831.358</v>
          </cell>
          <cell r="M19">
            <v>-108643</v>
          </cell>
          <cell r="N19">
            <v>3593</v>
          </cell>
          <cell r="O19" t="str">
            <v>Lago Verde</v>
          </cell>
        </row>
        <row r="20">
          <cell r="J20">
            <v>120000</v>
          </cell>
          <cell r="K20">
            <v>100840</v>
          </cell>
          <cell r="L20" t="str">
            <v>$2.144.433</v>
          </cell>
          <cell r="M20">
            <v>-120000</v>
          </cell>
          <cell r="N20">
            <v>3563</v>
          </cell>
          <cell r="O20" t="str">
            <v>Lago Verde</v>
          </cell>
        </row>
        <row r="21">
          <cell r="J21">
            <v>155771</v>
          </cell>
          <cell r="K21">
            <v>130900</v>
          </cell>
          <cell r="L21" t="str">
            <v>$6.269.129</v>
          </cell>
          <cell r="M21">
            <v>-155771</v>
          </cell>
          <cell r="N21">
            <v>3620</v>
          </cell>
          <cell r="O21" t="str">
            <v>Lago Verde</v>
          </cell>
        </row>
        <row r="22">
          <cell r="J22">
            <v>199500</v>
          </cell>
          <cell r="K22">
            <v>167647</v>
          </cell>
          <cell r="L22" t="str">
            <v>$10.983.614</v>
          </cell>
          <cell r="M22">
            <v>-199500</v>
          </cell>
          <cell r="N22">
            <v>3588</v>
          </cell>
          <cell r="O22" t="str">
            <v>Lago Verde</v>
          </cell>
        </row>
        <row r="23">
          <cell r="J23">
            <v>209973</v>
          </cell>
          <cell r="K23">
            <v>176448</v>
          </cell>
          <cell r="L23" t="str">
            <v>$7.494.084</v>
          </cell>
          <cell r="M23">
            <v>-33525</v>
          </cell>
          <cell r="N23">
            <v>3553</v>
          </cell>
          <cell r="O23" t="str">
            <v>Lago Verde</v>
          </cell>
        </row>
        <row r="24">
          <cell r="J24">
            <v>238000</v>
          </cell>
          <cell r="K24">
            <v>200000</v>
          </cell>
          <cell r="L24">
            <v>9516680</v>
          </cell>
          <cell r="M24">
            <v>-238000</v>
          </cell>
          <cell r="N24">
            <v>3547</v>
          </cell>
          <cell r="O24" t="str">
            <v>Lago Verde</v>
          </cell>
        </row>
        <row r="25">
          <cell r="J25">
            <v>330000</v>
          </cell>
          <cell r="K25">
            <v>277311</v>
          </cell>
          <cell r="L25" t="str">
            <v>$27.336</v>
          </cell>
          <cell r="M25">
            <v>-330000</v>
          </cell>
          <cell r="N25">
            <v>3572</v>
          </cell>
          <cell r="O25" t="str">
            <v>Lago Verde</v>
          </cell>
        </row>
        <row r="26">
          <cell r="J26">
            <v>374850</v>
          </cell>
          <cell r="K26">
            <v>315000</v>
          </cell>
          <cell r="L26" t="str">
            <v>$3.664.550</v>
          </cell>
          <cell r="M26">
            <v>-374850</v>
          </cell>
          <cell r="N26">
            <v>3561</v>
          </cell>
          <cell r="O26" t="str">
            <v>Lago Verde</v>
          </cell>
        </row>
        <row r="27">
          <cell r="J27">
            <v>414526</v>
          </cell>
          <cell r="K27">
            <v>348341</v>
          </cell>
          <cell r="L27" t="str">
            <v>$6.612.810</v>
          </cell>
          <cell r="M27">
            <v>-414526</v>
          </cell>
          <cell r="N27">
            <v>3594</v>
          </cell>
          <cell r="O27" t="str">
            <v>Lago Verde</v>
          </cell>
        </row>
        <row r="28">
          <cell r="J28">
            <v>483392</v>
          </cell>
          <cell r="K28">
            <v>406212</v>
          </cell>
          <cell r="L28" t="str">
            <v>$841.190</v>
          </cell>
          <cell r="M28">
            <v>-483392</v>
          </cell>
          <cell r="N28">
            <v>3573</v>
          </cell>
          <cell r="O28" t="str">
            <v>Lago Verde</v>
          </cell>
        </row>
        <row r="29">
          <cell r="J29">
            <v>483854</v>
          </cell>
          <cell r="K29">
            <v>406600</v>
          </cell>
          <cell r="L29" t="str">
            <v>$357.336</v>
          </cell>
          <cell r="M29">
            <v>-483854</v>
          </cell>
          <cell r="N29">
            <v>3556</v>
          </cell>
          <cell r="O29" t="str">
            <v>Lago Verde</v>
          </cell>
        </row>
        <row r="30">
          <cell r="J30">
            <v>780099</v>
          </cell>
          <cell r="K30">
            <v>655545</v>
          </cell>
          <cell r="L30" t="str">
            <v>$4.761.909</v>
          </cell>
          <cell r="M30">
            <v>-780099</v>
          </cell>
          <cell r="N30">
            <v>3571</v>
          </cell>
          <cell r="O30" t="str">
            <v>Lago Verde</v>
          </cell>
        </row>
        <row r="31">
          <cell r="J31">
            <v>919761</v>
          </cell>
          <cell r="K31">
            <v>772908</v>
          </cell>
          <cell r="L31">
            <v>4323445</v>
          </cell>
          <cell r="M31">
            <v>-919761</v>
          </cell>
          <cell r="N31">
            <v>3555</v>
          </cell>
          <cell r="O31" t="str">
            <v>Lago Verde</v>
          </cell>
        </row>
        <row r="32">
          <cell r="J32">
            <v>991270</v>
          </cell>
          <cell r="K32">
            <v>833000</v>
          </cell>
          <cell r="L32" t="str">
            <v>$7.393.423</v>
          </cell>
          <cell r="M32">
            <v>-991270</v>
          </cell>
          <cell r="N32">
            <v>3582</v>
          </cell>
          <cell r="O32" t="str">
            <v>Lago Verde</v>
          </cell>
        </row>
        <row r="33">
          <cell r="J33">
            <v>1171719</v>
          </cell>
          <cell r="K33">
            <v>984638</v>
          </cell>
          <cell r="L33" t="str">
            <v>$379.037</v>
          </cell>
          <cell r="M33">
            <v>-1171719</v>
          </cell>
          <cell r="N33">
            <v>3568</v>
          </cell>
          <cell r="O33" t="str">
            <v>Lago Verde</v>
          </cell>
        </row>
        <row r="34">
          <cell r="J34">
            <v>1483882</v>
          </cell>
          <cell r="K34">
            <v>1246960</v>
          </cell>
          <cell r="L34" t="str">
            <v>$1.324.582</v>
          </cell>
          <cell r="M34">
            <v>-1483882</v>
          </cell>
          <cell r="N34">
            <v>3567</v>
          </cell>
          <cell r="O34" t="str">
            <v>Lago Verde</v>
          </cell>
        </row>
        <row r="35">
          <cell r="J35">
            <v>1829268</v>
          </cell>
          <cell r="K35">
            <v>1537200</v>
          </cell>
          <cell r="L35" t="str">
            <v>$4.317.311</v>
          </cell>
          <cell r="M35">
            <v>-1829268</v>
          </cell>
          <cell r="N35">
            <v>3575</v>
          </cell>
          <cell r="O35" t="str">
            <v>Lago Verde</v>
          </cell>
        </row>
        <row r="36">
          <cell r="J36">
            <v>1953445</v>
          </cell>
          <cell r="K36">
            <v>1641550</v>
          </cell>
          <cell r="L36" t="str">
            <v>$2.808.464</v>
          </cell>
          <cell r="M36">
            <v>-1953445</v>
          </cell>
          <cell r="N36">
            <v>3574</v>
          </cell>
          <cell r="O36" t="str">
            <v>Lago Verde</v>
          </cell>
        </row>
        <row r="37">
          <cell r="J37">
            <v>1934656</v>
          </cell>
          <cell r="K37">
            <v>1625761</v>
          </cell>
          <cell r="L37">
            <v>5481639</v>
          </cell>
          <cell r="M37">
            <v>-1934656</v>
          </cell>
          <cell r="N37">
            <v>3549</v>
          </cell>
          <cell r="O37" t="str">
            <v>Lago Verde</v>
          </cell>
        </row>
        <row r="38">
          <cell r="J38">
            <v>5000000</v>
          </cell>
          <cell r="K38">
            <v>4201681</v>
          </cell>
          <cell r="L38">
            <v>7476104</v>
          </cell>
          <cell r="M38">
            <v>-5000000</v>
          </cell>
          <cell r="N38">
            <v>3549</v>
          </cell>
          <cell r="O38" t="str">
            <v>Lago Verde</v>
          </cell>
        </row>
        <row r="39">
          <cell r="J39">
            <v>3723510</v>
          </cell>
          <cell r="K39">
            <v>3129000</v>
          </cell>
          <cell r="N39">
            <v>3557</v>
          </cell>
          <cell r="O39" t="str">
            <v>Lago Verde</v>
          </cell>
        </row>
        <row r="40">
          <cell r="J40">
            <v>7000000</v>
          </cell>
          <cell r="K40">
            <v>5882353</v>
          </cell>
          <cell r="N40">
            <v>3557</v>
          </cell>
          <cell r="O40" t="str">
            <v>Lago Verde</v>
          </cell>
        </row>
        <row r="41">
          <cell r="J41">
            <v>1000000</v>
          </cell>
          <cell r="K41">
            <v>840336</v>
          </cell>
          <cell r="L41" t="str">
            <v>$4.591.358</v>
          </cell>
          <cell r="M41">
            <v>-1000000</v>
          </cell>
          <cell r="N41">
            <v>3633</v>
          </cell>
          <cell r="O41" t="str">
            <v>Lago Verde</v>
          </cell>
        </row>
        <row r="42">
          <cell r="J42">
            <v>1140000</v>
          </cell>
          <cell r="K42">
            <v>957983</v>
          </cell>
          <cell r="L42" t="str">
            <v>$8.960.373</v>
          </cell>
          <cell r="M42">
            <v>-1140000</v>
          </cell>
          <cell r="N42">
            <v>3633</v>
          </cell>
          <cell r="O42" t="str">
            <v>Lago Verde</v>
          </cell>
        </row>
        <row r="43">
          <cell r="J43">
            <v>5000000</v>
          </cell>
          <cell r="K43">
            <v>4201681</v>
          </cell>
          <cell r="L43" t="str">
            <v>$5.591.358</v>
          </cell>
          <cell r="M43">
            <v>-5000000</v>
          </cell>
          <cell r="N43">
            <v>3633</v>
          </cell>
          <cell r="O43" t="str">
            <v>Lago Verde</v>
          </cell>
        </row>
        <row r="44">
          <cell r="J44">
            <v>300000</v>
          </cell>
          <cell r="K44">
            <v>252101</v>
          </cell>
          <cell r="L44" t="str">
            <v>$1.587.080</v>
          </cell>
          <cell r="M44">
            <v>-300000</v>
          </cell>
          <cell r="N44">
            <v>3578</v>
          </cell>
          <cell r="O44" t="str">
            <v>Lago Verde</v>
          </cell>
        </row>
        <row r="45">
          <cell r="J45">
            <v>344903</v>
          </cell>
          <cell r="K45">
            <v>289834</v>
          </cell>
          <cell r="L45" t="str">
            <v>$1.887.080</v>
          </cell>
          <cell r="M45">
            <v>-344903</v>
          </cell>
          <cell r="N45">
            <v>3578</v>
          </cell>
          <cell r="O45" t="str">
            <v>Lago Verde</v>
          </cell>
        </row>
        <row r="46">
          <cell r="J46">
            <v>3511739</v>
          </cell>
          <cell r="K46">
            <v>2951041</v>
          </cell>
          <cell r="L46">
            <v>5243206</v>
          </cell>
          <cell r="M46">
            <v>-3511739</v>
          </cell>
          <cell r="N46">
            <v>3554</v>
          </cell>
          <cell r="O46" t="str">
            <v>Lago Verde</v>
          </cell>
        </row>
        <row r="47">
          <cell r="J47">
            <v>100000</v>
          </cell>
          <cell r="K47">
            <v>84034</v>
          </cell>
          <cell r="L47">
            <v>8754945</v>
          </cell>
          <cell r="M47">
            <v>-100000</v>
          </cell>
          <cell r="N47">
            <v>3552</v>
          </cell>
          <cell r="O47" t="str">
            <v>Lago Verde</v>
          </cell>
        </row>
        <row r="48">
          <cell r="J48">
            <v>500000</v>
          </cell>
          <cell r="K48">
            <v>420168</v>
          </cell>
          <cell r="N48">
            <v>3552</v>
          </cell>
          <cell r="O48" t="str">
            <v>Lago Verde</v>
          </cell>
        </row>
        <row r="49">
          <cell r="J49">
            <v>6543707</v>
          </cell>
          <cell r="K49">
            <v>5498913</v>
          </cell>
          <cell r="N49">
            <v>3552</v>
          </cell>
          <cell r="O49" t="str">
            <v>Lago Verde</v>
          </cell>
        </row>
        <row r="50">
          <cell r="J50">
            <v>4463897</v>
          </cell>
          <cell r="K50">
            <v>3751174</v>
          </cell>
          <cell r="N50">
            <v>3558</v>
          </cell>
          <cell r="O50" t="str">
            <v>Lago Verde</v>
          </cell>
        </row>
        <row r="51">
          <cell r="J51">
            <v>1170428</v>
          </cell>
          <cell r="K51">
            <v>983553</v>
          </cell>
          <cell r="N51">
            <v>3564</v>
          </cell>
          <cell r="O51" t="str">
            <v>Lago Verde</v>
          </cell>
        </row>
        <row r="56">
          <cell r="J56">
            <v>307495</v>
          </cell>
          <cell r="K56">
            <v>258399</v>
          </cell>
          <cell r="L56" t="str">
            <v>$8.932.435</v>
          </cell>
          <cell r="M56">
            <v>-307495</v>
          </cell>
          <cell r="N56">
            <v>3548</v>
          </cell>
          <cell r="O56" t="str">
            <v>Lago Verde</v>
          </cell>
        </row>
        <row r="57">
          <cell r="J57">
            <v>1000000</v>
          </cell>
          <cell r="K57">
            <v>840336</v>
          </cell>
          <cell r="L57">
            <v>3367970</v>
          </cell>
          <cell r="M57">
            <v>-1000000</v>
          </cell>
          <cell r="N57">
            <v>3548</v>
          </cell>
          <cell r="O57" t="str">
            <v>Lago Verde</v>
          </cell>
        </row>
        <row r="58">
          <cell r="J58">
            <v>1307500</v>
          </cell>
          <cell r="K58">
            <v>1098739</v>
          </cell>
          <cell r="L58" t="str">
            <v>$9.466.125</v>
          </cell>
          <cell r="M58">
            <v>-1307500</v>
          </cell>
          <cell r="N58">
            <v>3548</v>
          </cell>
          <cell r="O58" t="str">
            <v>Lago Verde</v>
          </cell>
        </row>
        <row r="59">
          <cell r="J59">
            <v>3705687</v>
          </cell>
          <cell r="K59">
            <v>3114023</v>
          </cell>
          <cell r="L59" t="str">
            <v>$3.788.397</v>
          </cell>
          <cell r="M59">
            <v>-3705687</v>
          </cell>
          <cell r="N59">
            <v>3560</v>
          </cell>
          <cell r="O59" t="str">
            <v>Lago Verde</v>
          </cell>
        </row>
        <row r="62">
          <cell r="J62">
            <v>2139800</v>
          </cell>
          <cell r="K62">
            <v>1798151</v>
          </cell>
          <cell r="L62">
            <v>5622827</v>
          </cell>
          <cell r="M62">
            <v>-341649</v>
          </cell>
          <cell r="N62">
            <v>3632</v>
          </cell>
          <cell r="O62" t="str">
            <v>Lago Verde</v>
          </cell>
        </row>
        <row r="63">
          <cell r="J63">
            <v>5000000</v>
          </cell>
          <cell r="K63">
            <v>4201681</v>
          </cell>
          <cell r="L63">
            <v>7762627</v>
          </cell>
          <cell r="M63">
            <v>-798319</v>
          </cell>
          <cell r="N63">
            <v>3632</v>
          </cell>
          <cell r="O63" t="str">
            <v>Lago Verde</v>
          </cell>
        </row>
        <row r="64">
          <cell r="J64">
            <v>500000</v>
          </cell>
          <cell r="K64">
            <v>420168.06722689077</v>
          </cell>
          <cell r="L64" t="str">
            <v>$7.458.389</v>
          </cell>
          <cell r="M64">
            <v>-500000</v>
          </cell>
          <cell r="N64">
            <v>3632</v>
          </cell>
          <cell r="O64" t="str">
            <v>Lago Verde</v>
          </cell>
        </row>
        <row r="65">
          <cell r="J65">
            <v>746650</v>
          </cell>
          <cell r="K65">
            <v>627437</v>
          </cell>
          <cell r="L65" t="str">
            <v>$6.366.386</v>
          </cell>
          <cell r="M65">
            <v>-746650</v>
          </cell>
          <cell r="N65">
            <v>3565</v>
          </cell>
          <cell r="O65" t="str">
            <v>Lago Verde</v>
          </cell>
        </row>
        <row r="67">
          <cell r="J67">
            <v>422000</v>
          </cell>
          <cell r="K67">
            <v>354622</v>
          </cell>
          <cell r="L67" t="str">
            <v>$5.944.386</v>
          </cell>
          <cell r="M67">
            <v>-422000</v>
          </cell>
          <cell r="N67">
            <v>3591</v>
          </cell>
          <cell r="O67" t="str">
            <v>Lago Verde</v>
          </cell>
        </row>
        <row r="68">
          <cell r="J68">
            <v>184000</v>
          </cell>
          <cell r="K68">
            <v>154622</v>
          </cell>
          <cell r="L68" t="str">
            <v>$6.424.900</v>
          </cell>
          <cell r="M68">
            <v>-184000</v>
          </cell>
          <cell r="N68">
            <v>3586</v>
          </cell>
          <cell r="O68" t="str">
            <v>Lago Verde</v>
          </cell>
        </row>
        <row r="69">
          <cell r="J69">
            <v>122550</v>
          </cell>
          <cell r="K69">
            <v>122550</v>
          </cell>
          <cell r="L69" t="str">
            <v>$3.665.847</v>
          </cell>
          <cell r="M69">
            <v>-122550</v>
          </cell>
          <cell r="N69">
            <v>3676</v>
          </cell>
          <cell r="O69" t="str">
            <v>Lago Verde</v>
          </cell>
        </row>
        <row r="70">
          <cell r="J70">
            <v>110002</v>
          </cell>
          <cell r="K70">
            <v>9245</v>
          </cell>
          <cell r="L70">
            <v>110002</v>
          </cell>
          <cell r="M70">
            <v>-100757</v>
          </cell>
          <cell r="N70">
            <v>3590</v>
          </cell>
          <cell r="O70" t="str">
            <v>Lago Verde</v>
          </cell>
        </row>
        <row r="71">
          <cell r="J71">
            <v>226195</v>
          </cell>
          <cell r="K71">
            <v>190080</v>
          </cell>
          <cell r="L71" t="str">
            <v>$9.239.930</v>
          </cell>
          <cell r="M71">
            <v>-36115</v>
          </cell>
          <cell r="N71">
            <v>3559</v>
          </cell>
          <cell r="O71" t="str">
            <v>Lago Verde</v>
          </cell>
        </row>
        <row r="72">
          <cell r="J72">
            <v>156060</v>
          </cell>
          <cell r="K72">
            <v>131143</v>
          </cell>
          <cell r="L72">
            <v>156060</v>
          </cell>
          <cell r="M72">
            <v>-24917</v>
          </cell>
          <cell r="N72">
            <v>3674</v>
          </cell>
          <cell r="O72" t="str">
            <v>Lago Verde</v>
          </cell>
        </row>
        <row r="73">
          <cell r="J73">
            <v>59849.86</v>
          </cell>
          <cell r="K73">
            <v>50294</v>
          </cell>
          <cell r="L73">
            <v>59849.86</v>
          </cell>
          <cell r="M73">
            <v>-9555.86</v>
          </cell>
          <cell r="N73">
            <v>3681</v>
          </cell>
          <cell r="O73" t="str">
            <v>Lago Verde</v>
          </cell>
        </row>
      </sheetData>
      <sheetData sheetId="9">
        <row r="6">
          <cell r="I6">
            <v>3515792</v>
          </cell>
          <cell r="J6">
            <v>2954447.0588235296</v>
          </cell>
          <cell r="K6">
            <v>6398099</v>
          </cell>
          <cell r="L6">
            <v>-179878.26890756277</v>
          </cell>
          <cell r="M6">
            <v>3487</v>
          </cell>
          <cell r="N6" t="str">
            <v>CFT</v>
          </cell>
        </row>
        <row r="7">
          <cell r="I7">
            <v>1113669</v>
          </cell>
          <cell r="J7">
            <v>935856.30252100842</v>
          </cell>
          <cell r="K7">
            <v>4367970</v>
          </cell>
          <cell r="L7">
            <v>-863455.79831932753</v>
          </cell>
          <cell r="M7">
            <v>3544</v>
          </cell>
          <cell r="N7" t="str">
            <v>CFT</v>
          </cell>
        </row>
        <row r="8">
          <cell r="I8">
            <v>236239</v>
          </cell>
          <cell r="J8">
            <v>198520.16806722691</v>
          </cell>
          <cell r="K8">
            <v>1057385</v>
          </cell>
          <cell r="L8" t="e">
            <v>#REF!</v>
          </cell>
          <cell r="M8">
            <v>3613</v>
          </cell>
          <cell r="N8" t="str">
            <v>CFT</v>
          </cell>
        </row>
        <row r="10">
          <cell r="M10">
            <v>4088823.5294117653</v>
          </cell>
        </row>
        <row r="12">
          <cell r="I12">
            <v>500000</v>
          </cell>
          <cell r="J12">
            <v>420168.06722689077</v>
          </cell>
          <cell r="K12">
            <v>2356307</v>
          </cell>
          <cell r="L12">
            <v>-79831.932773109234</v>
          </cell>
          <cell r="M12" t="str">
            <v>3474-3643</v>
          </cell>
          <cell r="N12" t="str">
            <v>CFT</v>
          </cell>
        </row>
        <row r="13">
          <cell r="I13">
            <v>4854160</v>
          </cell>
          <cell r="J13">
            <v>4079126.0504201683</v>
          </cell>
          <cell r="K13">
            <v>1305736</v>
          </cell>
          <cell r="L13">
            <v>-894239.94957983168</v>
          </cell>
          <cell r="M13" t="str">
            <v>3474-3643</v>
          </cell>
          <cell r="N13" t="str">
            <v>CFT</v>
          </cell>
        </row>
        <row r="14">
          <cell r="I14">
            <v>-1000000</v>
          </cell>
          <cell r="J14">
            <v>-840336.13445378153</v>
          </cell>
          <cell r="K14">
            <v>4466108</v>
          </cell>
          <cell r="L14">
            <v>85202.067226890766</v>
          </cell>
          <cell r="M14">
            <v>3474</v>
          </cell>
          <cell r="N14" t="str">
            <v>CFT</v>
          </cell>
        </row>
        <row r="15">
          <cell r="I15">
            <v>-1855552</v>
          </cell>
          <cell r="J15">
            <v>-1559287.3949579832</v>
          </cell>
          <cell r="K15">
            <v>8146645</v>
          </cell>
          <cell r="L15">
            <v>381466.6722689076</v>
          </cell>
          <cell r="M15">
            <v>3474</v>
          </cell>
          <cell r="N15" t="str">
            <v>CFT</v>
          </cell>
        </row>
        <row r="16">
          <cell r="I16">
            <v>1000000</v>
          </cell>
          <cell r="J16">
            <v>840336.13445378153</v>
          </cell>
        </row>
        <row r="17">
          <cell r="I17">
            <v>1826927</v>
          </cell>
          <cell r="J17">
            <v>1535232.7731092437</v>
          </cell>
          <cell r="K17">
            <v>840336.13445378153</v>
          </cell>
          <cell r="L17" t="str">
            <v>$6.458.389</v>
          </cell>
        </row>
        <row r="18">
          <cell r="I18">
            <v>1911155</v>
          </cell>
          <cell r="J18">
            <v>1606012.6050420168</v>
          </cell>
          <cell r="M18">
            <v>3530</v>
          </cell>
        </row>
        <row r="19">
          <cell r="I19">
            <v>1000000</v>
          </cell>
          <cell r="J19">
            <v>840336.13445378153</v>
          </cell>
          <cell r="K19">
            <v>7944896</v>
          </cell>
          <cell r="L19">
            <v>-339542.13445378124</v>
          </cell>
          <cell r="M19">
            <v>3485</v>
          </cell>
          <cell r="N19" t="str">
            <v>CFT</v>
          </cell>
        </row>
        <row r="20">
          <cell r="I20">
            <v>320900</v>
          </cell>
          <cell r="J20">
            <v>269663.86554621853</v>
          </cell>
          <cell r="K20">
            <v>3096897</v>
          </cell>
          <cell r="L20" t="e">
            <v>#REF!</v>
          </cell>
          <cell r="M20">
            <v>3485</v>
          </cell>
          <cell r="N20" t="str">
            <v>CFT</v>
          </cell>
        </row>
        <row r="21">
          <cell r="I21">
            <v>1280240</v>
          </cell>
          <cell r="J21">
            <v>1075831.9327731093</v>
          </cell>
          <cell r="K21">
            <v>9913891</v>
          </cell>
          <cell r="L21">
            <v>-119205.99999999994</v>
          </cell>
          <cell r="M21">
            <v>3486</v>
          </cell>
          <cell r="N21" t="str">
            <v>CFT</v>
          </cell>
        </row>
        <row r="22">
          <cell r="I22">
            <v>1206817</v>
          </cell>
          <cell r="J22">
            <v>1014131.9327731093</v>
          </cell>
          <cell r="K22">
            <v>3096966</v>
          </cell>
          <cell r="L22">
            <v>-311891.06722689065</v>
          </cell>
          <cell r="M22">
            <v>3527</v>
          </cell>
          <cell r="N22" t="str">
            <v>CFT</v>
          </cell>
        </row>
        <row r="23">
          <cell r="I23">
            <v>1194593</v>
          </cell>
          <cell r="J23">
            <v>1003859.6638655462</v>
          </cell>
          <cell r="K23">
            <v>3020135</v>
          </cell>
          <cell r="L23">
            <v>-502624.40336134442</v>
          </cell>
          <cell r="M23">
            <v>3515</v>
          </cell>
          <cell r="N23" t="str">
            <v>CFT</v>
          </cell>
        </row>
        <row r="24">
          <cell r="I24">
            <v>1146275</v>
          </cell>
          <cell r="J24">
            <v>963256.30252100842</v>
          </cell>
          <cell r="K24">
            <v>7910772</v>
          </cell>
          <cell r="L24">
            <v>-685643.10084033594</v>
          </cell>
          <cell r="M24">
            <v>3498</v>
          </cell>
          <cell r="N24" t="str">
            <v>CFT</v>
          </cell>
        </row>
        <row r="25">
          <cell r="I25">
            <v>971796</v>
          </cell>
          <cell r="J25">
            <v>816635.29411764711</v>
          </cell>
          <cell r="K25">
            <v>7510423</v>
          </cell>
          <cell r="L25">
            <v>-494702.84033613413</v>
          </cell>
          <cell r="M25">
            <v>3518</v>
          </cell>
          <cell r="N25" t="str">
            <v>CFT</v>
          </cell>
        </row>
        <row r="26">
          <cell r="I26">
            <v>840000</v>
          </cell>
          <cell r="J26">
            <v>705882.3529411765</v>
          </cell>
          <cell r="K26">
            <v>6425153</v>
          </cell>
          <cell r="L26">
            <v>-628820.48739495757</v>
          </cell>
          <cell r="M26">
            <v>3510</v>
          </cell>
          <cell r="N26" t="str">
            <v>CFT</v>
          </cell>
        </row>
        <row r="27">
          <cell r="I27">
            <v>768740</v>
          </cell>
          <cell r="J27">
            <v>646000</v>
          </cell>
          <cell r="K27">
            <v>4624865</v>
          </cell>
          <cell r="L27" t="e">
            <v>#REF!</v>
          </cell>
          <cell r="M27">
            <v>3526</v>
          </cell>
          <cell r="N27" t="str">
            <v>CFT</v>
          </cell>
        </row>
        <row r="28">
          <cell r="I28">
            <v>736748</v>
          </cell>
          <cell r="J28">
            <v>619115.96638655465</v>
          </cell>
          <cell r="K28">
            <v>1112667</v>
          </cell>
          <cell r="L28" t="e">
            <v>#REF!</v>
          </cell>
          <cell r="M28">
            <v>3529</v>
          </cell>
          <cell r="N28" t="str">
            <v>CFT</v>
          </cell>
        </row>
        <row r="29">
          <cell r="I29">
            <v>645619</v>
          </cell>
          <cell r="J29">
            <v>542536.97478991596</v>
          </cell>
          <cell r="K29">
            <v>7265153</v>
          </cell>
          <cell r="L29" t="e">
            <v>#REF!</v>
          </cell>
          <cell r="M29">
            <v>3514</v>
          </cell>
          <cell r="N29" t="str">
            <v>CFT</v>
          </cell>
        </row>
        <row r="30">
          <cell r="I30">
            <v>235668</v>
          </cell>
          <cell r="J30">
            <v>198040.3361344538</v>
          </cell>
          <cell r="K30">
            <v>3216547</v>
          </cell>
          <cell r="L30">
            <v>-37627.663865546201</v>
          </cell>
          <cell r="M30">
            <v>3543</v>
          </cell>
          <cell r="N30" t="str">
            <v>CFT</v>
          </cell>
        </row>
        <row r="31">
          <cell r="I31">
            <v>230698</v>
          </cell>
          <cell r="J31">
            <v>193863.8655462185</v>
          </cell>
          <cell r="K31">
            <v>826687</v>
          </cell>
          <cell r="L31">
            <v>-74461.798319327703</v>
          </cell>
          <cell r="M31">
            <v>3601</v>
          </cell>
          <cell r="N31" t="str">
            <v>CFT</v>
          </cell>
        </row>
        <row r="32">
          <cell r="I32">
            <v>8980</v>
          </cell>
          <cell r="J32">
            <v>7546.2184873949582</v>
          </cell>
          <cell r="M32">
            <v>3670</v>
          </cell>
        </row>
        <row r="33">
          <cell r="I33">
            <v>288000</v>
          </cell>
          <cell r="J33">
            <v>242016.8067226891</v>
          </cell>
          <cell r="K33">
            <v>4039400</v>
          </cell>
          <cell r="L33" t="e">
            <v>#REF!</v>
          </cell>
          <cell r="M33">
            <v>3551</v>
          </cell>
          <cell r="N33" t="str">
            <v>CFT</v>
          </cell>
        </row>
        <row r="35">
          <cell r="I35">
            <v>27161</v>
          </cell>
          <cell r="J35">
            <v>22824.36974789916</v>
          </cell>
          <cell r="K35">
            <v>652104</v>
          </cell>
          <cell r="L35">
            <v>-78798.428571428551</v>
          </cell>
          <cell r="M35">
            <v>3532</v>
          </cell>
          <cell r="N35" t="str">
            <v>CFT</v>
          </cell>
        </row>
        <row r="36">
          <cell r="I36">
            <v>19599</v>
          </cell>
          <cell r="J36">
            <v>16469.747899159665</v>
          </cell>
          <cell r="K36">
            <v>2953242</v>
          </cell>
          <cell r="L36">
            <v>-81927.680672268878</v>
          </cell>
          <cell r="M36">
            <v>3600</v>
          </cell>
          <cell r="N36" t="str">
            <v>CFT</v>
          </cell>
        </row>
        <row r="39">
          <cell r="I39">
            <v>644742</v>
          </cell>
          <cell r="J39">
            <v>541800</v>
          </cell>
          <cell r="K39">
            <v>5139982</v>
          </cell>
          <cell r="L39">
            <v>541800</v>
          </cell>
        </row>
        <row r="40">
          <cell r="I40">
            <v>546210</v>
          </cell>
          <cell r="J40">
            <v>459000</v>
          </cell>
          <cell r="K40">
            <v>4593772</v>
          </cell>
          <cell r="L40">
            <v>459000</v>
          </cell>
        </row>
        <row r="41">
          <cell r="I41">
            <v>283487</v>
          </cell>
          <cell r="J41">
            <v>238224.36974789918</v>
          </cell>
          <cell r="K41">
            <v>5784724</v>
          </cell>
          <cell r="L41">
            <v>238224.36974789918</v>
          </cell>
        </row>
        <row r="42">
          <cell r="I42">
            <v>203999</v>
          </cell>
          <cell r="J42">
            <v>171427.731092437</v>
          </cell>
          <cell r="L42">
            <v>171427.731092437</v>
          </cell>
        </row>
        <row r="43">
          <cell r="I43">
            <v>77879.55</v>
          </cell>
          <cell r="J43">
            <v>65445.000000000007</v>
          </cell>
          <cell r="L43">
            <v>65445.000000000007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Hoja2"/>
      <sheetName val="Cartola 05-2026"/>
      <sheetName val="PR-147 Melipilla"/>
      <sheetName val="PR-148 Puerto Montt"/>
      <sheetName val="PR-151  Serv BD Smartphone"/>
      <sheetName val="PR-155 LRANCO"/>
      <sheetName val="PR 125 Los Rios"/>
    </sheetNames>
    <sheetDataSet>
      <sheetData sheetId="0"/>
      <sheetData sheetId="1"/>
      <sheetData sheetId="2">
        <row r="2">
          <cell r="J2">
            <v>0</v>
          </cell>
          <cell r="Q2" t="str">
            <v>Trransferencia desde Security</v>
          </cell>
        </row>
        <row r="3">
          <cell r="J3">
            <v>47600</v>
          </cell>
          <cell r="L3" t="str">
            <v>OC3657</v>
          </cell>
          <cell r="M3" t="str">
            <v>F-1360</v>
          </cell>
          <cell r="Q3" t="str">
            <v>OC3657</v>
          </cell>
          <cell r="R3" t="str">
            <v>F-1360</v>
          </cell>
          <cell r="S3" t="str">
            <v>PR-145</v>
          </cell>
        </row>
        <row r="4">
          <cell r="J4">
            <v>345100</v>
          </cell>
          <cell r="L4" t="str">
            <v>OC3663</v>
          </cell>
          <cell r="M4" t="str">
            <v>F-1632</v>
          </cell>
          <cell r="Q4" t="str">
            <v>OC3663</v>
          </cell>
          <cell r="R4" t="str">
            <v>F-1632</v>
          </cell>
          <cell r="S4" t="str">
            <v>PR-147</v>
          </cell>
        </row>
        <row r="5">
          <cell r="J5">
            <v>5000000</v>
          </cell>
          <cell r="L5" t="str">
            <v>OC 3632</v>
          </cell>
          <cell r="M5" t="str">
            <v>F-1626</v>
          </cell>
          <cell r="Q5" t="str">
            <v>OC 3632</v>
          </cell>
          <cell r="R5" t="str">
            <v>F-1626</v>
          </cell>
          <cell r="S5" t="str">
            <v>PR-145</v>
          </cell>
        </row>
        <row r="6">
          <cell r="J6">
            <v>2139800</v>
          </cell>
          <cell r="L6" t="str">
            <v>OC3632</v>
          </cell>
          <cell r="M6" t="str">
            <v>F-1626</v>
          </cell>
          <cell r="Q6" t="str">
            <v>OC3632</v>
          </cell>
          <cell r="R6" t="str">
            <v>F-1626</v>
          </cell>
          <cell r="S6" t="str">
            <v>PR-145</v>
          </cell>
        </row>
        <row r="7">
          <cell r="J7">
            <v>1000000</v>
          </cell>
          <cell r="L7" t="str">
            <v>OC3677</v>
          </cell>
          <cell r="M7" t="str">
            <v>F-8</v>
          </cell>
          <cell r="Q7" t="str">
            <v>OC3677</v>
          </cell>
          <cell r="R7" t="str">
            <v>F-8</v>
          </cell>
          <cell r="S7" t="str">
            <v>PR-150</v>
          </cell>
        </row>
        <row r="8">
          <cell r="J8">
            <v>4348950</v>
          </cell>
          <cell r="L8" t="str">
            <v>OC3637</v>
          </cell>
          <cell r="M8" t="str">
            <v>F-411</v>
          </cell>
          <cell r="Q8" t="str">
            <v>OC3637</v>
          </cell>
          <cell r="R8" t="str">
            <v>F-411</v>
          </cell>
          <cell r="S8" t="str">
            <v>PR-149</v>
          </cell>
        </row>
        <row r="9">
          <cell r="J9">
            <v>20900</v>
          </cell>
          <cell r="L9" t="str">
            <v>Revision Tecnica</v>
          </cell>
          <cell r="Q9" t="str">
            <v>Revision Tecnica</v>
          </cell>
        </row>
        <row r="10">
          <cell r="J10">
            <v>20900</v>
          </cell>
          <cell r="L10" t="str">
            <v>Revision Tecnica</v>
          </cell>
          <cell r="Q10" t="str">
            <v>Revision Tecnica</v>
          </cell>
        </row>
        <row r="11">
          <cell r="J11">
            <v>5349</v>
          </cell>
          <cell r="L11" t="str">
            <v>Gasto Bancario</v>
          </cell>
          <cell r="Q11" t="str">
            <v>Gasto Bancario</v>
          </cell>
        </row>
        <row r="12">
          <cell r="J12">
            <v>40000</v>
          </cell>
          <cell r="L12" t="str">
            <v>Giro Redbanc</v>
          </cell>
          <cell r="Q12" t="str">
            <v>Giro Redbanc</v>
          </cell>
        </row>
        <row r="13">
          <cell r="J13">
            <v>57629</v>
          </cell>
          <cell r="L13" t="str">
            <v>Honorarios Abogada Estefania Figueroa - Reembolsos traslados</v>
          </cell>
          <cell r="Q13" t="str">
            <v>Honorarios Abogada Estefania Figueroa - Reembolsos traslados</v>
          </cell>
        </row>
        <row r="14">
          <cell r="J14">
            <v>75000</v>
          </cell>
          <cell r="L14" t="str">
            <v>REP VACUO LAVADORA</v>
          </cell>
          <cell r="Q14" t="str">
            <v>REP VACUO LAVADORA</v>
          </cell>
          <cell r="S14" t="str">
            <v>PR-140</v>
          </cell>
        </row>
        <row r="15">
          <cell r="J15">
            <v>6990</v>
          </cell>
          <cell r="L15" t="str">
            <v>OC-3719</v>
          </cell>
          <cell r="M15" t="str">
            <v>F- 22694036</v>
          </cell>
          <cell r="Q15" t="str">
            <v>Compra Pomo Baño mujeres</v>
          </cell>
          <cell r="R15" t="str">
            <v>F- 22694036</v>
          </cell>
          <cell r="S15" t="str">
            <v>OC-3719</v>
          </cell>
        </row>
        <row r="16">
          <cell r="J16">
            <v>23990</v>
          </cell>
          <cell r="L16" t="str">
            <v>OC-3720</v>
          </cell>
          <cell r="M16" t="str">
            <v>F- 1975</v>
          </cell>
          <cell r="Q16" t="str">
            <v>alimento mascota</v>
          </cell>
          <cell r="R16" t="str">
            <v>F- 1975</v>
          </cell>
          <cell r="S16" t="str">
            <v>OC-3720</v>
          </cell>
        </row>
        <row r="17">
          <cell r="J17">
            <v>0</v>
          </cell>
          <cell r="L17" t="str">
            <v>Trransferencia desde Security</v>
          </cell>
          <cell r="Q17" t="str">
            <v>Trransferencia desde Security</v>
          </cell>
        </row>
        <row r="18">
          <cell r="J18">
            <v>99894</v>
          </cell>
          <cell r="L18" t="str">
            <v>OC- 3715</v>
          </cell>
          <cell r="M18" t="str">
            <v>F- 171830</v>
          </cell>
          <cell r="R18" t="str">
            <v>F- 171830</v>
          </cell>
          <cell r="S18" t="str">
            <v>OC- 3715</v>
          </cell>
        </row>
        <row r="19">
          <cell r="J19">
            <v>222300</v>
          </cell>
          <cell r="L19" t="str">
            <v>OC-3721</v>
          </cell>
          <cell r="M19" t="str">
            <v>F-134121</v>
          </cell>
          <cell r="Q19" t="str">
            <v>Articulos de oficina</v>
          </cell>
          <cell r="R19" t="str">
            <v>F-134121</v>
          </cell>
          <cell r="S19" t="str">
            <v>OC-3721</v>
          </cell>
        </row>
        <row r="20">
          <cell r="J20">
            <v>43700</v>
          </cell>
          <cell r="L20" t="str">
            <v>OC-3717</v>
          </cell>
          <cell r="M20" t="str">
            <v>F-1304</v>
          </cell>
          <cell r="R20" t="str">
            <v>F-1304</v>
          </cell>
          <cell r="S20" t="str">
            <v>OC-3717</v>
          </cell>
        </row>
        <row r="21">
          <cell r="J21">
            <v>60000</v>
          </cell>
          <cell r="L21" t="str">
            <v>Combustible</v>
          </cell>
          <cell r="M21" t="str">
            <v>F-606865</v>
          </cell>
          <cell r="Q21" t="str">
            <v>Combustible</v>
          </cell>
          <cell r="R21" t="str">
            <v>F-606865</v>
          </cell>
        </row>
        <row r="22">
          <cell r="J22">
            <v>2600</v>
          </cell>
          <cell r="L22" t="str">
            <v>Estacionamiento</v>
          </cell>
          <cell r="R22" t="str">
            <v>pago estacionamiento (debito)</v>
          </cell>
        </row>
        <row r="23">
          <cell r="J23">
            <v>184050</v>
          </cell>
          <cell r="L23" t="str">
            <v>OC3679</v>
          </cell>
          <cell r="M23" t="str">
            <v>F8</v>
          </cell>
          <cell r="Q23" t="str">
            <v>OC3679</v>
          </cell>
          <cell r="R23" t="str">
            <v>F8</v>
          </cell>
          <cell r="S23" t="str">
            <v>PR-150</v>
          </cell>
        </row>
        <row r="24">
          <cell r="J24">
            <v>297500</v>
          </cell>
          <cell r="L24" t="str">
            <v>OC 3703</v>
          </cell>
          <cell r="M24" t="str">
            <v>F280</v>
          </cell>
          <cell r="Q24" t="str">
            <v>OC 3703</v>
          </cell>
          <cell r="R24" t="str">
            <v>F280</v>
          </cell>
        </row>
        <row r="25">
          <cell r="J25">
            <v>78970</v>
          </cell>
          <cell r="L25" t="str">
            <v>Rendicion Jose Perez Repuestos Camion</v>
          </cell>
          <cell r="Q25" t="str">
            <v>Rendicion Jose Perez Repuestos Camion</v>
          </cell>
        </row>
        <row r="26">
          <cell r="J26">
            <v>12890</v>
          </cell>
          <cell r="L26" t="str">
            <v>Arreglo Camion</v>
          </cell>
          <cell r="M26" t="str">
            <v>F-4219</v>
          </cell>
          <cell r="Q26" t="str">
            <v>F-4219 Inversiones Araya - Insumos arreglo camion</v>
          </cell>
        </row>
        <row r="27">
          <cell r="J27">
            <v>2750</v>
          </cell>
          <cell r="L27" t="str">
            <v>pago estacionamiento (debito)</v>
          </cell>
          <cell r="R27" t="str">
            <v>pago estacionamiento (debito)</v>
          </cell>
        </row>
        <row r="28">
          <cell r="J28">
            <v>20000</v>
          </cell>
          <cell r="L28" t="str">
            <v>Giro Redbanc</v>
          </cell>
          <cell r="Q28" t="str">
            <v>Giro Redbanc</v>
          </cell>
        </row>
        <row r="29">
          <cell r="J29">
            <v>46760</v>
          </cell>
          <cell r="L29" t="str">
            <v>OC-3718</v>
          </cell>
          <cell r="M29" t="str">
            <v>F-79921825</v>
          </cell>
          <cell r="Q29" t="str">
            <v>Insumos Oficina</v>
          </cell>
          <cell r="R29" t="str">
            <v>F-79921825</v>
          </cell>
          <cell r="S29" t="str">
            <v>OC-3718</v>
          </cell>
        </row>
        <row r="30">
          <cell r="J30">
            <v>1000000</v>
          </cell>
          <cell r="L30" t="str">
            <v>Comercial MP SpA</v>
          </cell>
          <cell r="Q30" t="str">
            <v>Comercial MP SpA</v>
          </cell>
        </row>
        <row r="31">
          <cell r="J31">
            <v>1000000</v>
          </cell>
          <cell r="L31" t="str">
            <v>Comercial MP SpA</v>
          </cell>
          <cell r="Q31" t="str">
            <v>Comercial MP SpA</v>
          </cell>
        </row>
        <row r="32">
          <cell r="J32">
            <v>0</v>
          </cell>
          <cell r="Q32" t="str">
            <v xml:space="preserve"> </v>
          </cell>
        </row>
        <row r="33">
          <cell r="J33">
            <v>2677023</v>
          </cell>
          <cell r="L33" t="str">
            <v>Agente de Aduana</v>
          </cell>
          <cell r="Q33" t="str">
            <v>Agente de Aduana</v>
          </cell>
        </row>
        <row r="34">
          <cell r="J34">
            <v>40000</v>
          </cell>
          <cell r="L34" t="str">
            <v>Giro Redbanc</v>
          </cell>
          <cell r="Q34" t="str">
            <v>Giro Redbanc</v>
          </cell>
        </row>
        <row r="35">
          <cell r="J35">
            <v>32876</v>
          </cell>
          <cell r="L35" t="str">
            <v>Combustible</v>
          </cell>
          <cell r="M35" t="str">
            <v>F-217552</v>
          </cell>
          <cell r="Q35" t="str">
            <v>Combustible</v>
          </cell>
          <cell r="R35" t="str">
            <v>F-217552</v>
          </cell>
        </row>
        <row r="36">
          <cell r="J36">
            <v>4001</v>
          </cell>
        </row>
        <row r="37">
          <cell r="J37">
            <v>20000</v>
          </cell>
          <cell r="L37" t="str">
            <v>giro</v>
          </cell>
          <cell r="Q37" t="str">
            <v>giro</v>
          </cell>
        </row>
        <row r="38">
          <cell r="J38">
            <v>3100</v>
          </cell>
          <cell r="L38" t="str">
            <v>repuestos camion</v>
          </cell>
          <cell r="M38" t="str">
            <v>F.13829</v>
          </cell>
          <cell r="Q38" t="str">
            <v>repuestos camion</v>
          </cell>
          <cell r="R38" t="str">
            <v>F.13829</v>
          </cell>
        </row>
        <row r="39">
          <cell r="J39">
            <v>60000</v>
          </cell>
          <cell r="L39" t="str">
            <v>combustible</v>
          </cell>
          <cell r="M39" t="str">
            <v>F.217749</v>
          </cell>
          <cell r="Q39" t="str">
            <v>combustible</v>
          </cell>
          <cell r="R39" t="str">
            <v>F.217749</v>
          </cell>
        </row>
        <row r="40">
          <cell r="J40">
            <v>94650</v>
          </cell>
          <cell r="L40" t="str">
            <v>compra utiles de aseo</v>
          </cell>
          <cell r="M40" t="str">
            <v>F.4098</v>
          </cell>
          <cell r="Q40" t="str">
            <v>compra utiles de aceo</v>
          </cell>
          <cell r="R40" t="str">
            <v>F.4098</v>
          </cell>
        </row>
        <row r="41">
          <cell r="L41" t="str">
            <v>transferencia desde security</v>
          </cell>
          <cell r="Q41" t="str">
            <v>transferencia desde security</v>
          </cell>
        </row>
        <row r="42">
          <cell r="L42" t="str">
            <v>transferencia desde security</v>
          </cell>
          <cell r="Q42" t="str">
            <v>transferencia desde security</v>
          </cell>
        </row>
        <row r="43">
          <cell r="J43">
            <v>4000000</v>
          </cell>
          <cell r="L43" t="str">
            <v>OC 3704</v>
          </cell>
          <cell r="Q43" t="str">
            <v>OC 3704 PR155 LRANCO</v>
          </cell>
          <cell r="S43" t="str">
            <v>PR-155</v>
          </cell>
        </row>
        <row r="44">
          <cell r="J44">
            <v>5000000</v>
          </cell>
          <cell r="L44" t="str">
            <v>OC 3704</v>
          </cell>
          <cell r="Q44" t="str">
            <v>OC 3704 PR155 LRANCO</v>
          </cell>
          <cell r="S44" t="str">
            <v>PR-155</v>
          </cell>
        </row>
        <row r="45">
          <cell r="J45">
            <v>5000000</v>
          </cell>
          <cell r="L45" t="str">
            <v>OC 3704</v>
          </cell>
          <cell r="Q45" t="str">
            <v>OC 3704 PR155 LRANCO</v>
          </cell>
          <cell r="S45" t="str">
            <v>PR-155</v>
          </cell>
        </row>
        <row r="46">
          <cell r="J46">
            <v>30000</v>
          </cell>
          <cell r="L46" t="str">
            <v>giro</v>
          </cell>
          <cell r="Q46" t="str">
            <v>giro</v>
          </cell>
        </row>
        <row r="47">
          <cell r="J47">
            <v>58900</v>
          </cell>
          <cell r="S47" t="str">
            <v>F.52405</v>
          </cell>
        </row>
        <row r="48">
          <cell r="J48">
            <v>20000</v>
          </cell>
          <cell r="L48" t="str">
            <v>giro</v>
          </cell>
          <cell r="Q48" t="str">
            <v>giro</v>
          </cell>
        </row>
        <row r="49">
          <cell r="J49">
            <v>38990</v>
          </cell>
          <cell r="L49" t="str">
            <v>T-Link</v>
          </cell>
          <cell r="Q49" t="str">
            <v>T-Link</v>
          </cell>
        </row>
        <row r="50">
          <cell r="J50">
            <v>280988</v>
          </cell>
          <cell r="L50" t="str">
            <v>pago de dos meses</v>
          </cell>
          <cell r="M50" t="str">
            <v>F,53482804</v>
          </cell>
          <cell r="N50" t="str">
            <v>F,53482803</v>
          </cell>
          <cell r="O50" t="str">
            <v>F,53407224</v>
          </cell>
          <cell r="P50" t="str">
            <v>F,53407214</v>
          </cell>
          <cell r="Q50" t="str">
            <v>pago de dos meses</v>
          </cell>
          <cell r="S50" t="str">
            <v>F,53482804</v>
          </cell>
        </row>
        <row r="51">
          <cell r="J51">
            <v>263200</v>
          </cell>
          <cell r="L51" t="str">
            <v>pago luz</v>
          </cell>
          <cell r="Q51" t="str">
            <v>pago luz</v>
          </cell>
        </row>
        <row r="52">
          <cell r="J52">
            <v>0</v>
          </cell>
          <cell r="L52" t="str">
            <v>transferencia desde security</v>
          </cell>
          <cell r="Q52" t="str">
            <v>transferencia desde security</v>
          </cell>
        </row>
        <row r="53">
          <cell r="J53">
            <v>5950</v>
          </cell>
          <cell r="L53" t="str">
            <v>estacionamiento</v>
          </cell>
          <cell r="Q53" t="str">
            <v>estacionamiento</v>
          </cell>
        </row>
        <row r="54">
          <cell r="J54">
            <v>70000</v>
          </cell>
          <cell r="L54" t="str">
            <v>combustible</v>
          </cell>
          <cell r="M54" t="str">
            <v>F,161884</v>
          </cell>
          <cell r="Q54" t="str">
            <v>combustible</v>
          </cell>
          <cell r="S54" t="str">
            <v>F,161884</v>
          </cell>
        </row>
        <row r="55">
          <cell r="J55">
            <v>4105500</v>
          </cell>
          <cell r="L55" t="str">
            <v>OC3616</v>
          </cell>
          <cell r="M55" t="str">
            <v>F.4616</v>
          </cell>
          <cell r="Q55" t="str">
            <v>OC3616 PR147 MELIP</v>
          </cell>
          <cell r="S55" t="str">
            <v>F.4616</v>
          </cell>
        </row>
        <row r="56">
          <cell r="J56">
            <v>40000</v>
          </cell>
          <cell r="L56" t="str">
            <v>giro</v>
          </cell>
          <cell r="Q56" t="str">
            <v>giro</v>
          </cell>
        </row>
        <row r="57">
          <cell r="J57">
            <v>21500</v>
          </cell>
          <cell r="M57" t="str">
            <v>F.13928</v>
          </cell>
          <cell r="S57" t="str">
            <v>F.13928</v>
          </cell>
        </row>
        <row r="58">
          <cell r="J58">
            <v>0</v>
          </cell>
          <cell r="L58" t="str">
            <v>Trransferencia desde Security</v>
          </cell>
          <cell r="Q58" t="str">
            <v>Trransferencia desde Security</v>
          </cell>
        </row>
        <row r="59">
          <cell r="J59">
            <v>0</v>
          </cell>
          <cell r="L59" t="str">
            <v>Trransferencia desde Security</v>
          </cell>
          <cell r="Q59" t="str">
            <v>Trransferencia desde Security</v>
          </cell>
        </row>
        <row r="60">
          <cell r="J60">
            <v>0</v>
          </cell>
          <cell r="L60" t="str">
            <v>Trransferencia desde Security</v>
          </cell>
          <cell r="Q60" t="str">
            <v>Trransferencia desde Security</v>
          </cell>
        </row>
        <row r="61">
          <cell r="J61">
            <v>8970</v>
          </cell>
          <cell r="L61" t="str">
            <v>falta XML</v>
          </cell>
          <cell r="Q61" t="str">
            <v>falta XML</v>
          </cell>
          <cell r="S61" t="str">
            <v>F,4279</v>
          </cell>
        </row>
        <row r="62">
          <cell r="J62">
            <v>380800</v>
          </cell>
          <cell r="L62" t="str">
            <v>OC3708</v>
          </cell>
          <cell r="M62" t="str">
            <v>F-482</v>
          </cell>
          <cell r="Q62" t="str">
            <v>OC3708 F482 PR155 LAGO RANCO</v>
          </cell>
          <cell r="S62" t="str">
            <v>PR-155</v>
          </cell>
        </row>
        <row r="63">
          <cell r="J63">
            <v>345100</v>
          </cell>
          <cell r="L63" t="str">
            <v>OC3709</v>
          </cell>
          <cell r="M63" t="str">
            <v>F-1671</v>
          </cell>
          <cell r="Q63" t="str">
            <v xml:space="preserve">OC3709 PR147 MELIPILLA	</v>
          </cell>
          <cell r="S63" t="str">
            <v>F,1671</v>
          </cell>
        </row>
        <row r="64">
          <cell r="J64">
            <v>49566</v>
          </cell>
          <cell r="L64" t="str">
            <v>Municipalidad de Chañaral - Finfast</v>
          </cell>
          <cell r="M64" t="str">
            <v>F-172308</v>
          </cell>
          <cell r="Q64" t="str">
            <v>Municipalidad de Chañaral - Finfast</v>
          </cell>
          <cell r="S64" t="str">
            <v>F-172308</v>
          </cell>
        </row>
        <row r="65">
          <cell r="J65">
            <v>17925840</v>
          </cell>
          <cell r="L65" t="str">
            <v>F 29 ABRIL 2026</v>
          </cell>
          <cell r="Q65" t="str">
            <v>F 29 ABRIL 2026</v>
          </cell>
        </row>
        <row r="66">
          <cell r="J66">
            <v>119000</v>
          </cell>
          <cell r="L66" t="str">
            <v>OC-3706</v>
          </cell>
          <cell r="M66" t="str">
            <v>F-418</v>
          </cell>
          <cell r="Q66" t="str">
            <v>visita tecnica proyecto no acreditado</v>
          </cell>
          <cell r="S66" t="str">
            <v>F.418</v>
          </cell>
        </row>
        <row r="67">
          <cell r="J67">
            <v>15000</v>
          </cell>
          <cell r="L67" t="str">
            <v>filo cadena</v>
          </cell>
          <cell r="M67" t="str">
            <v>F.13672</v>
          </cell>
          <cell r="Q67" t="str">
            <v>filo cadena</v>
          </cell>
          <cell r="S67" t="str">
            <v>F.13672</v>
          </cell>
        </row>
        <row r="68">
          <cell r="J68">
            <v>117730</v>
          </cell>
          <cell r="L68" t="str">
            <v>perfiles de fierro para el porton</v>
          </cell>
          <cell r="M68" t="str">
            <v>F,28154</v>
          </cell>
          <cell r="Q68" t="str">
            <v>perfiles de fierro para el porton</v>
          </cell>
          <cell r="S68" t="str">
            <v>F,28154</v>
          </cell>
        </row>
        <row r="69">
          <cell r="J69">
            <v>42050</v>
          </cell>
          <cell r="M69" t="str">
            <v>F,1334316</v>
          </cell>
          <cell r="S69" t="str">
            <v>F,1334316</v>
          </cell>
        </row>
        <row r="70">
          <cell r="J70">
            <v>800</v>
          </cell>
        </row>
        <row r="71">
          <cell r="J71">
            <v>6920</v>
          </cell>
          <cell r="M71" t="str">
            <v>F-28221</v>
          </cell>
          <cell r="S71" t="str">
            <v>F,28221</v>
          </cell>
        </row>
        <row r="72">
          <cell r="J72">
            <v>710578</v>
          </cell>
          <cell r="Q72" t="str">
            <v>GASTOSADUANPR143ULFR</v>
          </cell>
        </row>
        <row r="73">
          <cell r="J73">
            <v>1705351</v>
          </cell>
          <cell r="Q73" t="str">
            <v>DINPR143ULFRONT</v>
          </cell>
        </row>
        <row r="74">
          <cell r="J74">
            <v>40000</v>
          </cell>
          <cell r="Q74" t="str">
            <v>giro</v>
          </cell>
        </row>
        <row r="75">
          <cell r="J75">
            <v>16250</v>
          </cell>
          <cell r="L75" t="str">
            <v>OC-3724</v>
          </cell>
          <cell r="M75" t="str">
            <v>F,17078</v>
          </cell>
          <cell r="S75" t="str">
            <v>F,17078</v>
          </cell>
        </row>
        <row r="76">
          <cell r="J76">
            <v>20000</v>
          </cell>
          <cell r="Q76" t="str">
            <v>giro</v>
          </cell>
        </row>
        <row r="77">
          <cell r="J77">
            <v>8390</v>
          </cell>
        </row>
        <row r="78">
          <cell r="J78">
            <v>65000</v>
          </cell>
          <cell r="M78" t="str">
            <v>F.163105</v>
          </cell>
          <cell r="Q78" t="str">
            <v>combustible</v>
          </cell>
          <cell r="S78" t="str">
            <v>F.163105</v>
          </cell>
        </row>
        <row r="79">
          <cell r="J79">
            <v>99863</v>
          </cell>
          <cell r="M79" t="str">
            <v>F-171830</v>
          </cell>
          <cell r="Q79" t="str">
            <v>Municipalidad de Calbuco - Finfast</v>
          </cell>
          <cell r="S79" t="str">
            <v>F-171830</v>
          </cell>
        </row>
        <row r="80">
          <cell r="J80">
            <v>1000000</v>
          </cell>
          <cell r="L80" t="str">
            <v>OC3723</v>
          </cell>
          <cell r="Q80" t="str">
            <v>ABONO OC3723 PR157-VA</v>
          </cell>
        </row>
        <row r="81">
          <cell r="J81">
            <v>1000000</v>
          </cell>
          <cell r="L81" t="str">
            <v>OC3722</v>
          </cell>
          <cell r="Q81" t="str">
            <v>ABONO OC3722 PR156RAN</v>
          </cell>
        </row>
        <row r="82">
          <cell r="J82">
            <v>3118800</v>
          </cell>
          <cell r="L82" t="str">
            <v>OC3723</v>
          </cell>
          <cell r="Q82" t="str">
            <v>OC3723 PR157 VALPO</v>
          </cell>
        </row>
        <row r="83">
          <cell r="J83">
            <v>1382605</v>
          </cell>
          <cell r="L83" t="str">
            <v>OC3722</v>
          </cell>
          <cell r="Q83" t="str">
            <v>OC3722 PR156 RANC</v>
          </cell>
        </row>
        <row r="84">
          <cell r="J84">
            <v>5000000</v>
          </cell>
          <cell r="L84" t="str">
            <v>ÒC3723</v>
          </cell>
          <cell r="Q84" t="str">
            <v>ÒC3723 PR157 VALP</v>
          </cell>
        </row>
        <row r="85">
          <cell r="J85">
            <v>1000000</v>
          </cell>
          <cell r="L85" t="str">
            <v>OC3698</v>
          </cell>
          <cell r="Q85" t="str">
            <v>abonoOC3698PRUTEM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A1EE3-42B7-426A-B20A-A7ED7B2690AB}">
  <dimension ref="A1:K764"/>
  <sheetViews>
    <sheetView tabSelected="1" workbookViewId="0">
      <pane ySplit="1" topLeftCell="A498" activePane="bottomLeft" state="frozen"/>
      <selection pane="bottomLeft" activeCell="J506" sqref="J506"/>
    </sheetView>
  </sheetViews>
  <sheetFormatPr baseColWidth="10" defaultColWidth="8.88671875" defaultRowHeight="13.8" x14ac:dyDescent="0.3"/>
  <cols>
    <col min="1" max="1" width="8.88671875" style="8"/>
    <col min="2" max="2" width="8" style="8" customWidth="1"/>
    <col min="3" max="3" width="10" style="8" customWidth="1"/>
    <col min="4" max="4" width="14" style="8" customWidth="1"/>
    <col min="5" max="5" width="40.88671875" style="8" bestFit="1" customWidth="1"/>
    <col min="6" max="6" width="10.88671875" style="12" bestFit="1" customWidth="1"/>
    <col min="7" max="7" width="9.109375" style="12" bestFit="1" customWidth="1"/>
    <col min="8" max="8" width="10.109375" style="12" bestFit="1" customWidth="1"/>
    <col min="9" max="9" width="8.88671875" style="8"/>
    <col min="10" max="10" width="50.5546875" style="8" bestFit="1" customWidth="1"/>
    <col min="11" max="11" width="17.77734375" style="8" hidden="1" customWidth="1"/>
    <col min="12" max="16384" width="8.88671875" style="8"/>
  </cols>
  <sheetData>
    <row r="1" spans="1:11" s="3" customFormat="1" x14ac:dyDescent="0.3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J1" s="3" t="s">
        <v>7</v>
      </c>
      <c r="K1" s="3" t="s">
        <v>474</v>
      </c>
    </row>
    <row r="2" spans="1:11" x14ac:dyDescent="0.3">
      <c r="A2" s="8">
        <v>732</v>
      </c>
      <c r="B2" s="10">
        <v>46184</v>
      </c>
      <c r="C2" s="4"/>
      <c r="D2" s="4">
        <v>1077</v>
      </c>
      <c r="E2" s="5" t="s">
        <v>457</v>
      </c>
      <c r="F2" s="6">
        <v>0</v>
      </c>
      <c r="G2" s="7">
        <v>6879998</v>
      </c>
      <c r="H2" s="7">
        <v>13775755</v>
      </c>
      <c r="I2" s="11"/>
      <c r="J2" s="9" t="s">
        <v>290</v>
      </c>
      <c r="K2" s="8">
        <f>VLOOKUP(F2,'[2]Cartola 05-2026'!$J$2:$S$85,10,0)</f>
        <v>0</v>
      </c>
    </row>
    <row r="3" spans="1:11" x14ac:dyDescent="0.3">
      <c r="A3" s="8">
        <v>1</v>
      </c>
      <c r="B3" s="4" t="s">
        <v>8</v>
      </c>
      <c r="C3" s="4">
        <v>1</v>
      </c>
      <c r="D3" s="4">
        <v>1077</v>
      </c>
      <c r="E3" s="5" t="s">
        <v>9</v>
      </c>
      <c r="F3" s="6">
        <v>0</v>
      </c>
      <c r="G3" s="7">
        <v>1379453</v>
      </c>
      <c r="H3" s="7">
        <v>3198642</v>
      </c>
      <c r="J3" s="8" t="s">
        <v>490</v>
      </c>
      <c r="K3" s="8" t="s">
        <v>10</v>
      </c>
    </row>
    <row r="4" spans="1:11" x14ac:dyDescent="0.3">
      <c r="A4" s="8">
        <v>2</v>
      </c>
      <c r="B4" s="4" t="s">
        <v>8</v>
      </c>
      <c r="C4" s="4">
        <v>1</v>
      </c>
      <c r="D4" s="4">
        <v>1077</v>
      </c>
      <c r="E4" s="5" t="s">
        <v>11</v>
      </c>
      <c r="F4" s="6">
        <v>0</v>
      </c>
      <c r="G4" s="7">
        <v>2000000</v>
      </c>
      <c r="H4" s="7">
        <v>5198642</v>
      </c>
      <c r="J4" s="8" t="s">
        <v>490</v>
      </c>
      <c r="K4" s="8" t="s">
        <v>492</v>
      </c>
    </row>
    <row r="5" spans="1:11" x14ac:dyDescent="0.3">
      <c r="A5" s="8">
        <v>3</v>
      </c>
      <c r="B5" s="4" t="s">
        <v>8</v>
      </c>
      <c r="C5" s="4">
        <v>1</v>
      </c>
      <c r="D5" s="4">
        <v>1077</v>
      </c>
      <c r="E5" s="5" t="s">
        <v>12</v>
      </c>
      <c r="F5" s="6">
        <v>0</v>
      </c>
      <c r="G5" s="7">
        <v>7000000</v>
      </c>
      <c r="H5" s="7">
        <v>12198642</v>
      </c>
      <c r="J5" s="8" t="s">
        <v>13</v>
      </c>
      <c r="K5" s="8">
        <f>VLOOKUP(F5,'[2]Cartola 05-2026'!$J$2:$S$85,10,0)</f>
        <v>0</v>
      </c>
    </row>
    <row r="6" spans="1:11" x14ac:dyDescent="0.3">
      <c r="A6" s="8">
        <v>4</v>
      </c>
      <c r="B6" s="4" t="s">
        <v>8</v>
      </c>
      <c r="C6" s="4">
        <v>1</v>
      </c>
      <c r="D6" s="4">
        <v>1077</v>
      </c>
      <c r="E6" s="5" t="s">
        <v>12</v>
      </c>
      <c r="F6" s="6">
        <v>0</v>
      </c>
      <c r="G6" s="7">
        <v>7000000</v>
      </c>
      <c r="H6" s="7">
        <v>19198642</v>
      </c>
      <c r="J6" s="8" t="s">
        <v>13</v>
      </c>
      <c r="K6" s="8">
        <f>VLOOKUP(F6,'[2]Cartola 05-2026'!$J$2:$S$85,10,0)</f>
        <v>0</v>
      </c>
    </row>
    <row r="7" spans="1:11" x14ac:dyDescent="0.3">
      <c r="A7" s="8">
        <v>6</v>
      </c>
      <c r="B7" s="4" t="s">
        <v>8</v>
      </c>
      <c r="C7" s="4">
        <v>1</v>
      </c>
      <c r="D7" s="4">
        <v>3862549</v>
      </c>
      <c r="E7" s="5" t="s">
        <v>14</v>
      </c>
      <c r="F7" s="6">
        <v>19960</v>
      </c>
      <c r="G7" s="7">
        <v>0</v>
      </c>
      <c r="H7" s="7">
        <v>26178682</v>
      </c>
      <c r="J7" s="8" t="s">
        <v>15</v>
      </c>
      <c r="K7" s="8" t="e">
        <f>VLOOKUP(F7,'[2]Cartola 05-2026'!$J$2:$S$85,10,0)</f>
        <v>#N/A</v>
      </c>
    </row>
    <row r="8" spans="1:11" x14ac:dyDescent="0.3">
      <c r="A8" s="8">
        <v>7</v>
      </c>
      <c r="B8" s="4" t="s">
        <v>8</v>
      </c>
      <c r="C8" s="4">
        <v>1</v>
      </c>
      <c r="D8" s="4">
        <v>1084280</v>
      </c>
      <c r="E8" s="5" t="s">
        <v>16</v>
      </c>
      <c r="F8" s="6">
        <v>23071</v>
      </c>
      <c r="G8" s="7">
        <v>0</v>
      </c>
      <c r="H8" s="7">
        <v>26155611</v>
      </c>
      <c r="J8" s="8" t="s">
        <v>15</v>
      </c>
      <c r="K8" s="8" t="e">
        <f>VLOOKUP(F8,'[2]Cartola 05-2026'!$J$2:$S$85,10,0)</f>
        <v>#N/A</v>
      </c>
    </row>
    <row r="9" spans="1:11" x14ac:dyDescent="0.3">
      <c r="A9" s="8">
        <v>8</v>
      </c>
      <c r="B9" s="4" t="s">
        <v>8</v>
      </c>
      <c r="C9" s="4">
        <v>1</v>
      </c>
      <c r="D9" s="4">
        <v>7017347</v>
      </c>
      <c r="E9" s="5" t="s">
        <v>17</v>
      </c>
      <c r="F9" s="6">
        <v>1527005</v>
      </c>
      <c r="G9" s="7">
        <v>0</v>
      </c>
      <c r="H9" s="7">
        <v>24628606</v>
      </c>
      <c r="J9" s="8" t="s">
        <v>15</v>
      </c>
      <c r="K9" s="8" t="e">
        <f>VLOOKUP(F9,'[2]Cartola 05-2026'!$J$2:$S$85,10,0)</f>
        <v>#N/A</v>
      </c>
    </row>
    <row r="10" spans="1:11" x14ac:dyDescent="0.3">
      <c r="A10" s="8">
        <v>9</v>
      </c>
      <c r="B10" s="4" t="s">
        <v>8</v>
      </c>
      <c r="C10" s="4">
        <v>1</v>
      </c>
      <c r="D10" s="4">
        <v>7038431</v>
      </c>
      <c r="E10" s="5" t="s">
        <v>18</v>
      </c>
      <c r="F10" s="6">
        <v>4712000</v>
      </c>
      <c r="G10" s="7">
        <v>0</v>
      </c>
      <c r="H10" s="7">
        <v>19916606</v>
      </c>
      <c r="J10" s="8" t="s">
        <v>15</v>
      </c>
      <c r="K10" s="8" t="e">
        <f>VLOOKUP(F10,'[2]Cartola 05-2026'!$J$2:$S$85,10,0)</f>
        <v>#N/A</v>
      </c>
    </row>
    <row r="11" spans="1:11" x14ac:dyDescent="0.3">
      <c r="A11" s="8">
        <v>5</v>
      </c>
      <c r="B11" s="4" t="s">
        <v>8</v>
      </c>
      <c r="C11" s="4">
        <v>1</v>
      </c>
      <c r="D11" s="4">
        <v>1077</v>
      </c>
      <c r="E11" s="5" t="s">
        <v>12</v>
      </c>
      <c r="F11" s="6">
        <v>0</v>
      </c>
      <c r="G11" s="7">
        <v>7000000</v>
      </c>
      <c r="H11" s="7">
        <v>26198642</v>
      </c>
      <c r="J11" s="8" t="s">
        <v>13</v>
      </c>
      <c r="K11" s="8">
        <f>VLOOKUP(F11,'[2]Cartola 05-2026'!$J$2:$S$85,10,0)</f>
        <v>0</v>
      </c>
    </row>
    <row r="12" spans="1:11" x14ac:dyDescent="0.3">
      <c r="A12" s="8">
        <v>11</v>
      </c>
      <c r="B12" s="4" t="s">
        <v>8</v>
      </c>
      <c r="C12" s="4">
        <v>1</v>
      </c>
      <c r="D12" s="4">
        <v>7017359</v>
      </c>
      <c r="E12" s="5" t="s">
        <v>21</v>
      </c>
      <c r="F12" s="6">
        <v>172550</v>
      </c>
      <c r="G12" s="7">
        <v>0</v>
      </c>
      <c r="H12" s="7">
        <v>19705066</v>
      </c>
      <c r="J12" s="8" t="s">
        <v>15</v>
      </c>
      <c r="K12" s="8" t="e">
        <f>VLOOKUP(F12,'[2]Cartola 05-2026'!$J$2:$S$85,10,0)</f>
        <v>#N/A</v>
      </c>
    </row>
    <row r="13" spans="1:11" x14ac:dyDescent="0.3">
      <c r="A13" s="8">
        <v>12</v>
      </c>
      <c r="B13" s="4" t="s">
        <v>8</v>
      </c>
      <c r="C13" s="4">
        <v>2</v>
      </c>
      <c r="D13" s="4">
        <v>7038429</v>
      </c>
      <c r="E13" s="5" t="s">
        <v>22</v>
      </c>
      <c r="F13" s="6">
        <v>809889</v>
      </c>
      <c r="G13" s="7">
        <v>0</v>
      </c>
      <c r="H13" s="7">
        <v>18895177</v>
      </c>
      <c r="J13" s="8" t="s">
        <v>15</v>
      </c>
      <c r="K13" s="8" t="e">
        <f>VLOOKUP(F13,'[2]Cartola 05-2026'!$J$2:$S$85,10,0)</f>
        <v>#N/A</v>
      </c>
    </row>
    <row r="14" spans="1:11" x14ac:dyDescent="0.3">
      <c r="A14" s="8">
        <v>13</v>
      </c>
      <c r="B14" s="4" t="s">
        <v>8</v>
      </c>
      <c r="C14" s="4">
        <v>2</v>
      </c>
      <c r="D14" s="4">
        <v>7066356</v>
      </c>
      <c r="E14" s="5" t="s">
        <v>23</v>
      </c>
      <c r="F14" s="6">
        <v>47286</v>
      </c>
      <c r="G14" s="7">
        <v>0</v>
      </c>
      <c r="H14" s="7">
        <v>18847891</v>
      </c>
      <c r="J14" s="8" t="s">
        <v>24</v>
      </c>
      <c r="K14" s="8" t="e">
        <f>VLOOKUP(F14,'[2]Cartola 05-2026'!$J$2:$S$85,10,0)</f>
        <v>#N/A</v>
      </c>
    </row>
    <row r="15" spans="1:11" x14ac:dyDescent="0.3">
      <c r="A15" s="8">
        <v>10</v>
      </c>
      <c r="B15" s="4" t="s">
        <v>8</v>
      </c>
      <c r="C15" s="4">
        <v>1</v>
      </c>
      <c r="D15" s="4">
        <v>7054254</v>
      </c>
      <c r="E15" s="5" t="s">
        <v>19</v>
      </c>
      <c r="F15" s="6">
        <v>38990</v>
      </c>
      <c r="G15" s="7">
        <v>0</v>
      </c>
      <c r="H15" s="7">
        <v>19877616</v>
      </c>
      <c r="J15" s="8" t="s">
        <v>20</v>
      </c>
      <c r="K15" s="8">
        <f>VLOOKUP(F15,'[2]Cartola 05-2026'!$J$2:$S$85,10,0)</f>
        <v>0</v>
      </c>
    </row>
    <row r="16" spans="1:11" x14ac:dyDescent="0.3">
      <c r="A16" s="8">
        <v>15</v>
      </c>
      <c r="B16" s="4" t="s">
        <v>8</v>
      </c>
      <c r="C16" s="4">
        <v>2</v>
      </c>
      <c r="D16" s="4">
        <v>7038430</v>
      </c>
      <c r="E16" s="5" t="s">
        <v>25</v>
      </c>
      <c r="F16" s="6">
        <v>1785000</v>
      </c>
      <c r="G16" s="7">
        <v>0</v>
      </c>
      <c r="H16" s="7">
        <v>16062891</v>
      </c>
      <c r="J16" s="8" t="s">
        <v>15</v>
      </c>
      <c r="K16" s="8" t="e">
        <f>VLOOKUP(F16,'[2]Cartola 05-2026'!$J$2:$S$85,10,0)</f>
        <v>#N/A</v>
      </c>
    </row>
    <row r="17" spans="1:11" x14ac:dyDescent="0.3">
      <c r="A17" s="8">
        <v>16</v>
      </c>
      <c r="B17" s="4" t="s">
        <v>8</v>
      </c>
      <c r="C17" s="4">
        <v>2</v>
      </c>
      <c r="D17" s="4">
        <v>1458</v>
      </c>
      <c r="E17" s="5" t="s">
        <v>26</v>
      </c>
      <c r="F17" s="6">
        <v>13239</v>
      </c>
      <c r="G17" s="7">
        <v>0</v>
      </c>
      <c r="H17" s="7">
        <v>16049652</v>
      </c>
      <c r="J17" s="8" t="s">
        <v>27</v>
      </c>
      <c r="K17" s="8" t="e">
        <f>VLOOKUP(F17,'[2]Cartola 05-2026'!$J$2:$S$85,10,0)</f>
        <v>#N/A</v>
      </c>
    </row>
    <row r="18" spans="1:11" x14ac:dyDescent="0.3">
      <c r="A18" s="8">
        <v>17</v>
      </c>
      <c r="B18" s="4" t="s">
        <v>8</v>
      </c>
      <c r="C18" s="4">
        <v>2</v>
      </c>
      <c r="D18" s="4">
        <v>7077546</v>
      </c>
      <c r="E18" s="5" t="s">
        <v>28</v>
      </c>
      <c r="F18" s="6">
        <v>95200</v>
      </c>
      <c r="G18" s="7">
        <v>0</v>
      </c>
      <c r="H18" s="7">
        <v>15954452</v>
      </c>
      <c r="J18" s="8" t="s">
        <v>15</v>
      </c>
      <c r="K18" s="8" t="e">
        <f>VLOOKUP(F18,'[2]Cartola 05-2026'!$J$2:$S$85,10,0)</f>
        <v>#N/A</v>
      </c>
    </row>
    <row r="19" spans="1:11" x14ac:dyDescent="0.3">
      <c r="A19" s="8">
        <v>18</v>
      </c>
      <c r="B19" s="4" t="s">
        <v>8</v>
      </c>
      <c r="C19" s="4">
        <v>2</v>
      </c>
      <c r="D19" s="4">
        <v>7080600</v>
      </c>
      <c r="E19" s="5" t="s">
        <v>29</v>
      </c>
      <c r="F19" s="6">
        <v>1000</v>
      </c>
      <c r="G19" s="7">
        <v>0</v>
      </c>
      <c r="H19" s="7">
        <v>15953452</v>
      </c>
      <c r="J19" s="8" t="s">
        <v>15</v>
      </c>
      <c r="K19" s="8" t="s">
        <v>494</v>
      </c>
    </row>
    <row r="20" spans="1:11" x14ac:dyDescent="0.3">
      <c r="A20" s="8">
        <v>19</v>
      </c>
      <c r="B20" s="4" t="s">
        <v>8</v>
      </c>
      <c r="C20" s="4">
        <v>2</v>
      </c>
      <c r="D20" s="4">
        <v>7083947</v>
      </c>
      <c r="E20" s="5" t="s">
        <v>30</v>
      </c>
      <c r="F20" s="6">
        <v>1000</v>
      </c>
      <c r="G20" s="7">
        <v>0</v>
      </c>
      <c r="H20" s="7">
        <v>15952452</v>
      </c>
      <c r="J20" s="8" t="s">
        <v>15</v>
      </c>
      <c r="K20" s="8" t="e">
        <f>VLOOKUP(F20,'[2]Cartola 05-2026'!$J$2:$S$85,10,0)</f>
        <v>#N/A</v>
      </c>
    </row>
    <row r="21" spans="1:11" x14ac:dyDescent="0.3">
      <c r="A21" s="8">
        <v>20</v>
      </c>
      <c r="B21" s="4" t="s">
        <v>8</v>
      </c>
      <c r="C21" s="4">
        <v>2</v>
      </c>
      <c r="D21" s="4">
        <v>7088082</v>
      </c>
      <c r="E21" s="5" t="s">
        <v>22</v>
      </c>
      <c r="F21" s="6">
        <v>500000</v>
      </c>
      <c r="G21" s="7">
        <v>0</v>
      </c>
      <c r="H21" s="7">
        <v>15452452</v>
      </c>
      <c r="J21" s="8" t="s">
        <v>15</v>
      </c>
      <c r="K21" s="8" t="str">
        <f>VLOOKUP(F21,'[1]141-Coquimbo'!$H$2:$M$26,6,0)</f>
        <v>Coquimbo Muebles</v>
      </c>
    </row>
    <row r="22" spans="1:11" x14ac:dyDescent="0.3">
      <c r="A22" s="8">
        <v>14</v>
      </c>
      <c r="B22" s="4" t="s">
        <v>8</v>
      </c>
      <c r="C22" s="4">
        <v>2</v>
      </c>
      <c r="D22" s="4">
        <v>7073481</v>
      </c>
      <c r="E22" s="5" t="s">
        <v>18</v>
      </c>
      <c r="F22" s="6">
        <v>1000000</v>
      </c>
      <c r="G22" s="7">
        <v>0</v>
      </c>
      <c r="H22" s="7">
        <v>17847891</v>
      </c>
      <c r="J22" s="8" t="s">
        <v>15</v>
      </c>
      <c r="K22" s="8">
        <v>0</v>
      </c>
    </row>
    <row r="23" spans="1:11" x14ac:dyDescent="0.3">
      <c r="A23" s="8">
        <v>22</v>
      </c>
      <c r="B23" s="4" t="s">
        <v>8</v>
      </c>
      <c r="C23" s="4">
        <v>2</v>
      </c>
      <c r="D23" s="4">
        <v>7089663</v>
      </c>
      <c r="E23" s="5" t="s">
        <v>31</v>
      </c>
      <c r="F23" s="6">
        <v>2616000</v>
      </c>
      <c r="G23" s="7">
        <v>0</v>
      </c>
      <c r="H23" s="7">
        <v>7836452</v>
      </c>
      <c r="J23" s="8" t="s">
        <v>15</v>
      </c>
      <c r="K23" s="8" t="s">
        <v>494</v>
      </c>
    </row>
    <row r="24" spans="1:11" x14ac:dyDescent="0.3">
      <c r="A24" s="8">
        <v>23</v>
      </c>
      <c r="B24" s="4" t="s">
        <v>8</v>
      </c>
      <c r="C24" s="4">
        <v>2</v>
      </c>
      <c r="D24" s="4">
        <v>4225876</v>
      </c>
      <c r="E24" s="5" t="s">
        <v>32</v>
      </c>
      <c r="F24" s="6">
        <v>184700</v>
      </c>
      <c r="G24" s="7">
        <v>0</v>
      </c>
      <c r="H24" s="7">
        <v>7651752</v>
      </c>
      <c r="J24" s="8" t="s">
        <v>33</v>
      </c>
      <c r="K24" s="8" t="e">
        <f>VLOOKUP(F24,'[2]Cartola 05-2026'!$J$2:$S$85,10,0)</f>
        <v>#N/A</v>
      </c>
    </row>
    <row r="25" spans="1:11" x14ac:dyDescent="0.3">
      <c r="A25" s="8">
        <v>24</v>
      </c>
      <c r="B25" s="4" t="s">
        <v>8</v>
      </c>
      <c r="C25" s="4">
        <v>2</v>
      </c>
      <c r="D25" s="4">
        <v>7038432</v>
      </c>
      <c r="E25" s="5" t="s">
        <v>34</v>
      </c>
      <c r="F25" s="6">
        <v>150000</v>
      </c>
      <c r="G25" s="7">
        <v>0</v>
      </c>
      <c r="H25" s="7">
        <v>7501752</v>
      </c>
      <c r="J25" s="8" t="s">
        <v>15</v>
      </c>
      <c r="K25" s="8" t="e">
        <f>VLOOKUP(F25,'[2]Cartola 05-2026'!$J$2:$S$85,10,0)</f>
        <v>#N/A</v>
      </c>
    </row>
    <row r="26" spans="1:11" x14ac:dyDescent="0.3">
      <c r="A26" s="8">
        <v>25</v>
      </c>
      <c r="B26" s="4" t="s">
        <v>35</v>
      </c>
      <c r="C26" s="4">
        <v>2</v>
      </c>
      <c r="D26" s="4">
        <v>4036217</v>
      </c>
      <c r="E26" s="5" t="s">
        <v>36</v>
      </c>
      <c r="F26" s="6">
        <v>33314</v>
      </c>
      <c r="G26" s="7">
        <v>0</v>
      </c>
      <c r="H26" s="7">
        <v>7468438</v>
      </c>
      <c r="J26" s="8" t="s">
        <v>37</v>
      </c>
      <c r="K26" s="8" t="e">
        <f>VLOOKUP(F26,'[2]Cartola 05-2026'!$J$2:$S$85,10,0)</f>
        <v>#N/A</v>
      </c>
    </row>
    <row r="27" spans="1:11" x14ac:dyDescent="0.3">
      <c r="A27" s="8">
        <v>26</v>
      </c>
      <c r="B27" s="4" t="s">
        <v>35</v>
      </c>
      <c r="C27" s="4">
        <v>2</v>
      </c>
      <c r="D27" s="4">
        <v>3262170</v>
      </c>
      <c r="E27" s="5" t="s">
        <v>38</v>
      </c>
      <c r="F27" s="6">
        <v>12000</v>
      </c>
      <c r="G27" s="7">
        <v>0</v>
      </c>
      <c r="H27" s="7">
        <v>7456438</v>
      </c>
      <c r="J27" s="8" t="s">
        <v>39</v>
      </c>
      <c r="K27" s="8" t="e">
        <f>VLOOKUP(F27,'[2]Cartola 05-2026'!$J$2:$S$85,10,0)</f>
        <v>#N/A</v>
      </c>
    </row>
    <row r="28" spans="1:11" x14ac:dyDescent="0.3">
      <c r="A28" s="8">
        <v>27</v>
      </c>
      <c r="B28" s="4" t="s">
        <v>35</v>
      </c>
      <c r="C28" s="4">
        <v>2</v>
      </c>
      <c r="D28" s="4">
        <v>7095163</v>
      </c>
      <c r="E28" s="5" t="s">
        <v>40</v>
      </c>
      <c r="F28" s="6">
        <v>926449</v>
      </c>
      <c r="G28" s="7">
        <v>0</v>
      </c>
      <c r="H28" s="7">
        <v>6529989</v>
      </c>
      <c r="J28" s="8" t="s">
        <v>15</v>
      </c>
      <c r="K28" s="8" t="s">
        <v>493</v>
      </c>
    </row>
    <row r="29" spans="1:11" x14ac:dyDescent="0.3">
      <c r="A29" s="8">
        <v>28</v>
      </c>
      <c r="B29" s="4" t="s">
        <v>41</v>
      </c>
      <c r="C29" s="4">
        <v>2</v>
      </c>
      <c r="D29" s="4">
        <v>1112959</v>
      </c>
      <c r="E29" s="5" t="s">
        <v>42</v>
      </c>
      <c r="F29" s="6">
        <v>13690</v>
      </c>
      <c r="G29" s="7">
        <v>0</v>
      </c>
      <c r="H29" s="7">
        <v>6516299</v>
      </c>
      <c r="J29" s="8" t="s">
        <v>15</v>
      </c>
      <c r="K29" s="8" t="s">
        <v>493</v>
      </c>
    </row>
    <row r="30" spans="1:11" x14ac:dyDescent="0.3">
      <c r="A30" s="8">
        <v>29</v>
      </c>
      <c r="B30" s="4" t="s">
        <v>41</v>
      </c>
      <c r="C30" s="4">
        <v>2</v>
      </c>
      <c r="D30" s="4">
        <v>7046045</v>
      </c>
      <c r="E30" s="5" t="s">
        <v>30</v>
      </c>
      <c r="F30" s="6">
        <v>336000</v>
      </c>
      <c r="G30" s="7">
        <v>0</v>
      </c>
      <c r="H30" s="7">
        <v>6180299</v>
      </c>
      <c r="J30" s="8" t="s">
        <v>15</v>
      </c>
      <c r="K30" s="8" t="s">
        <v>493</v>
      </c>
    </row>
    <row r="31" spans="1:11" x14ac:dyDescent="0.3">
      <c r="A31" s="8">
        <v>30</v>
      </c>
      <c r="B31" s="4" t="s">
        <v>41</v>
      </c>
      <c r="C31" s="4">
        <v>2</v>
      </c>
      <c r="D31" s="4">
        <v>7049087</v>
      </c>
      <c r="E31" s="5" t="s">
        <v>29</v>
      </c>
      <c r="F31" s="6">
        <v>2293984</v>
      </c>
      <c r="G31" s="7">
        <v>0</v>
      </c>
      <c r="H31" s="7">
        <v>3886315</v>
      </c>
      <c r="J31" s="8" t="s">
        <v>15</v>
      </c>
      <c r="K31" s="8" t="s">
        <v>494</v>
      </c>
    </row>
    <row r="32" spans="1:11" x14ac:dyDescent="0.3">
      <c r="A32" s="8">
        <v>31</v>
      </c>
      <c r="B32" s="4" t="s">
        <v>41</v>
      </c>
      <c r="C32" s="4">
        <v>2</v>
      </c>
      <c r="D32" s="4">
        <v>7047859</v>
      </c>
      <c r="E32" s="5" t="s">
        <v>43</v>
      </c>
      <c r="F32" s="6">
        <v>34272</v>
      </c>
      <c r="G32" s="7">
        <v>0</v>
      </c>
      <c r="H32" s="7">
        <v>3852043</v>
      </c>
      <c r="J32" s="8" t="s">
        <v>15</v>
      </c>
      <c r="K32" s="8" t="s">
        <v>493</v>
      </c>
    </row>
    <row r="33" spans="1:11" x14ac:dyDescent="0.3">
      <c r="A33" s="8">
        <v>32</v>
      </c>
      <c r="B33" s="4" t="s">
        <v>41</v>
      </c>
      <c r="C33" s="4">
        <v>2</v>
      </c>
      <c r="D33" s="4">
        <v>1084259</v>
      </c>
      <c r="E33" s="5" t="s">
        <v>44</v>
      </c>
      <c r="F33" s="6">
        <v>26973</v>
      </c>
      <c r="G33" s="7">
        <v>0</v>
      </c>
      <c r="H33" s="7">
        <v>3825070</v>
      </c>
      <c r="J33" s="8" t="s">
        <v>15</v>
      </c>
      <c r="K33" s="8" t="s">
        <v>493</v>
      </c>
    </row>
    <row r="34" spans="1:11" x14ac:dyDescent="0.3">
      <c r="A34" s="8">
        <v>33</v>
      </c>
      <c r="B34" s="4" t="s">
        <v>41</v>
      </c>
      <c r="C34" s="4">
        <v>2</v>
      </c>
      <c r="D34" s="4">
        <v>4036217</v>
      </c>
      <c r="E34" s="5" t="s">
        <v>36</v>
      </c>
      <c r="F34" s="6">
        <v>18580</v>
      </c>
      <c r="G34" s="7">
        <v>0</v>
      </c>
      <c r="H34" s="7">
        <v>3806490</v>
      </c>
      <c r="J34" s="8" t="s">
        <v>37</v>
      </c>
      <c r="K34" s="8" t="e">
        <f>VLOOKUP(F34,'[2]Cartola 05-2026'!$J$2:$S$85,10,0)</f>
        <v>#N/A</v>
      </c>
    </row>
    <row r="35" spans="1:11" x14ac:dyDescent="0.3">
      <c r="A35" s="8">
        <v>34</v>
      </c>
      <c r="B35" s="4" t="s">
        <v>41</v>
      </c>
      <c r="C35" s="4">
        <v>2</v>
      </c>
      <c r="D35" s="4">
        <v>4036217</v>
      </c>
      <c r="E35" s="5" t="s">
        <v>36</v>
      </c>
      <c r="F35" s="6">
        <v>30011</v>
      </c>
      <c r="G35" s="7">
        <v>0</v>
      </c>
      <c r="H35" s="7">
        <v>3776479</v>
      </c>
      <c r="J35" s="8" t="s">
        <v>37</v>
      </c>
      <c r="K35" s="8" t="e">
        <f>VLOOKUP(F35,'[2]Cartola 05-2026'!$J$2:$S$85,10,0)</f>
        <v>#N/A</v>
      </c>
    </row>
    <row r="36" spans="1:11" x14ac:dyDescent="0.3">
      <c r="A36" s="8">
        <v>35</v>
      </c>
      <c r="B36" s="4" t="s">
        <v>41</v>
      </c>
      <c r="C36" s="4">
        <v>2</v>
      </c>
      <c r="D36" s="4">
        <v>4396099</v>
      </c>
      <c r="E36" s="5" t="s">
        <v>45</v>
      </c>
      <c r="F36" s="6">
        <v>24950</v>
      </c>
      <c r="G36" s="7">
        <v>0</v>
      </c>
      <c r="H36" s="7">
        <v>3751529</v>
      </c>
      <c r="J36" s="8" t="s">
        <v>15</v>
      </c>
      <c r="K36" s="8" t="s">
        <v>493</v>
      </c>
    </row>
    <row r="37" spans="1:11" x14ac:dyDescent="0.3">
      <c r="A37" s="8">
        <v>21</v>
      </c>
      <c r="B37" s="4" t="s">
        <v>8</v>
      </c>
      <c r="C37" s="4">
        <v>2</v>
      </c>
      <c r="D37" s="4">
        <v>7089661</v>
      </c>
      <c r="E37" s="5" t="s">
        <v>31</v>
      </c>
      <c r="F37" s="6">
        <v>5000000</v>
      </c>
      <c r="G37" s="7">
        <v>0</v>
      </c>
      <c r="H37" s="7">
        <v>10452452</v>
      </c>
      <c r="J37" s="8" t="s">
        <v>15</v>
      </c>
      <c r="K37" s="8" t="s">
        <v>494</v>
      </c>
    </row>
    <row r="38" spans="1:11" x14ac:dyDescent="0.3">
      <c r="A38" s="8">
        <v>36</v>
      </c>
      <c r="B38" s="4" t="s">
        <v>46</v>
      </c>
      <c r="C38" s="4">
        <v>2</v>
      </c>
      <c r="D38" s="4">
        <v>1077</v>
      </c>
      <c r="E38" s="5" t="s">
        <v>12</v>
      </c>
      <c r="F38" s="6">
        <v>0</v>
      </c>
      <c r="G38" s="7">
        <v>7000000</v>
      </c>
      <c r="H38" s="7">
        <v>10751529</v>
      </c>
      <c r="J38" s="8" t="s">
        <v>13</v>
      </c>
      <c r="K38" s="8">
        <f>VLOOKUP(F38,'[2]Cartola 05-2026'!$J$2:$S$85,10,0)</f>
        <v>0</v>
      </c>
    </row>
    <row r="39" spans="1:11" x14ac:dyDescent="0.3">
      <c r="A39" s="8">
        <v>38</v>
      </c>
      <c r="B39" s="4" t="s">
        <v>46</v>
      </c>
      <c r="C39" s="4">
        <v>2</v>
      </c>
      <c r="D39" s="4">
        <v>1138164</v>
      </c>
      <c r="E39" s="5" t="s">
        <v>49</v>
      </c>
      <c r="F39" s="6">
        <v>95970</v>
      </c>
      <c r="G39" s="7">
        <v>0</v>
      </c>
      <c r="H39" s="7">
        <v>10640559</v>
      </c>
      <c r="J39" s="8" t="s">
        <v>48</v>
      </c>
      <c r="K39" s="8" t="e">
        <f>VLOOKUP(F39,'[2]Cartola 05-2026'!$J$2:$S$85,10,0)</f>
        <v>#N/A</v>
      </c>
    </row>
    <row r="40" spans="1:11" x14ac:dyDescent="0.3">
      <c r="A40" s="8">
        <v>39</v>
      </c>
      <c r="B40" s="4" t="s">
        <v>46</v>
      </c>
      <c r="C40" s="4">
        <v>2</v>
      </c>
      <c r="D40" s="4">
        <v>4356527</v>
      </c>
      <c r="E40" s="5" t="s">
        <v>50</v>
      </c>
      <c r="F40" s="6">
        <v>7800</v>
      </c>
      <c r="G40" s="7">
        <v>0</v>
      </c>
      <c r="H40" s="7">
        <v>10632759</v>
      </c>
      <c r="J40" s="8" t="s">
        <v>48</v>
      </c>
      <c r="K40" s="8" t="e">
        <f>VLOOKUP(F40,'[2]Cartola 05-2026'!$J$2:$S$85,10,0)</f>
        <v>#N/A</v>
      </c>
    </row>
    <row r="41" spans="1:11" x14ac:dyDescent="0.3">
      <c r="A41" s="8">
        <v>40</v>
      </c>
      <c r="B41" s="4" t="s">
        <v>46</v>
      </c>
      <c r="C41" s="4">
        <v>2</v>
      </c>
      <c r="D41" s="4">
        <v>7034235</v>
      </c>
      <c r="E41" s="5" t="s">
        <v>31</v>
      </c>
      <c r="F41" s="6">
        <v>1468748</v>
      </c>
      <c r="G41" s="7">
        <v>0</v>
      </c>
      <c r="H41" s="7">
        <v>9164011</v>
      </c>
      <c r="J41" s="8" t="s">
        <v>48</v>
      </c>
      <c r="K41" s="8" t="s">
        <v>498</v>
      </c>
    </row>
    <row r="42" spans="1:11" x14ac:dyDescent="0.3">
      <c r="A42" s="8">
        <v>37</v>
      </c>
      <c r="B42" s="4" t="s">
        <v>46</v>
      </c>
      <c r="C42" s="4">
        <v>2</v>
      </c>
      <c r="D42" s="4">
        <v>3240545</v>
      </c>
      <c r="E42" s="5" t="s">
        <v>47</v>
      </c>
      <c r="F42" s="6">
        <v>15000</v>
      </c>
      <c r="G42" s="7">
        <v>0</v>
      </c>
      <c r="H42" s="7">
        <v>10736529</v>
      </c>
      <c r="J42" s="8" t="s">
        <v>48</v>
      </c>
      <c r="K42" s="8">
        <v>0</v>
      </c>
    </row>
    <row r="43" spans="1:11" x14ac:dyDescent="0.3">
      <c r="A43" s="8">
        <v>42</v>
      </c>
      <c r="B43" s="4" t="s">
        <v>46</v>
      </c>
      <c r="C43" s="4">
        <v>2</v>
      </c>
      <c r="D43" s="4">
        <v>7034233</v>
      </c>
      <c r="E43" s="5" t="s">
        <v>52</v>
      </c>
      <c r="F43" s="6">
        <v>4337550</v>
      </c>
      <c r="G43" s="7">
        <v>0</v>
      </c>
      <c r="H43" s="7">
        <v>3826461</v>
      </c>
      <c r="J43" s="8" t="s">
        <v>48</v>
      </c>
      <c r="K43" s="8" t="s">
        <v>498</v>
      </c>
    </row>
    <row r="44" spans="1:11" x14ac:dyDescent="0.3">
      <c r="A44" s="8">
        <v>41</v>
      </c>
      <c r="B44" s="4" t="s">
        <v>46</v>
      </c>
      <c r="C44" s="4">
        <v>2</v>
      </c>
      <c r="D44" s="4">
        <v>7035994</v>
      </c>
      <c r="E44" s="5" t="s">
        <v>51</v>
      </c>
      <c r="F44" s="6">
        <v>1000000</v>
      </c>
      <c r="G44" s="7">
        <v>0</v>
      </c>
      <c r="H44" s="7">
        <v>8164011</v>
      </c>
      <c r="J44" s="8" t="s">
        <v>48</v>
      </c>
      <c r="K44" s="8" t="s">
        <v>498</v>
      </c>
    </row>
    <row r="45" spans="1:11" x14ac:dyDescent="0.3">
      <c r="A45" s="8">
        <v>44</v>
      </c>
      <c r="B45" s="4" t="s">
        <v>46</v>
      </c>
      <c r="C45" s="4">
        <v>2</v>
      </c>
      <c r="D45" s="4">
        <v>4036217</v>
      </c>
      <c r="E45" s="5" t="s">
        <v>36</v>
      </c>
      <c r="F45" s="6">
        <v>31526</v>
      </c>
      <c r="G45" s="7">
        <v>0</v>
      </c>
      <c r="H45" s="7">
        <v>3734935</v>
      </c>
      <c r="J45" s="8" t="s">
        <v>37</v>
      </c>
      <c r="K45" s="8" t="e">
        <f>VLOOKUP(F45,'[2]Cartola 05-2026'!$J$2:$S$85,10,0)</f>
        <v>#N/A</v>
      </c>
    </row>
    <row r="46" spans="1:11" x14ac:dyDescent="0.3">
      <c r="A46" s="8">
        <v>45</v>
      </c>
      <c r="B46" s="4" t="s">
        <v>46</v>
      </c>
      <c r="C46" s="4">
        <v>2</v>
      </c>
      <c r="D46" s="4">
        <v>4395808</v>
      </c>
      <c r="E46" s="5" t="s">
        <v>55</v>
      </c>
      <c r="F46" s="6">
        <v>9300</v>
      </c>
      <c r="G46" s="7">
        <v>0</v>
      </c>
      <c r="H46" s="7">
        <v>3725635</v>
      </c>
      <c r="J46" s="8" t="s">
        <v>48</v>
      </c>
      <c r="K46" s="8" t="e">
        <f>VLOOKUP(F46,'[2]Cartola 05-2026'!$J$2:$S$85,10,0)</f>
        <v>#N/A</v>
      </c>
    </row>
    <row r="47" spans="1:11" x14ac:dyDescent="0.3">
      <c r="A47" s="8">
        <v>46</v>
      </c>
      <c r="B47" s="4" t="s">
        <v>46</v>
      </c>
      <c r="C47" s="4">
        <v>2</v>
      </c>
      <c r="D47" s="4">
        <v>7008112</v>
      </c>
      <c r="E47" s="5" t="s">
        <v>51</v>
      </c>
      <c r="F47" s="6">
        <v>3193000</v>
      </c>
      <c r="G47" s="7">
        <v>0</v>
      </c>
      <c r="H47" s="7">
        <v>532635</v>
      </c>
      <c r="J47" s="8" t="s">
        <v>48</v>
      </c>
      <c r="K47" s="8" t="s">
        <v>498</v>
      </c>
    </row>
    <row r="48" spans="1:11" x14ac:dyDescent="0.3">
      <c r="A48" s="8">
        <v>47</v>
      </c>
      <c r="B48" s="4" t="s">
        <v>56</v>
      </c>
      <c r="C48" s="4">
        <v>2</v>
      </c>
      <c r="D48" s="4"/>
      <c r="E48" s="5" t="s">
        <v>57</v>
      </c>
      <c r="F48" s="6">
        <v>180000</v>
      </c>
      <c r="G48" s="7">
        <v>0</v>
      </c>
      <c r="H48" s="7">
        <v>352635</v>
      </c>
      <c r="J48" s="8" t="s">
        <v>54</v>
      </c>
      <c r="K48" s="8" t="e">
        <f>VLOOKUP(F48,'[2]Cartola 05-2026'!$J$2:$S$85,10,0)</f>
        <v>#N/A</v>
      </c>
    </row>
    <row r="49" spans="1:11" x14ac:dyDescent="0.3">
      <c r="A49" s="8">
        <v>48</v>
      </c>
      <c r="B49" s="4" t="s">
        <v>56</v>
      </c>
      <c r="C49" s="4">
        <v>3</v>
      </c>
      <c r="D49" s="4">
        <v>3468339</v>
      </c>
      <c r="E49" s="5" t="s">
        <v>58</v>
      </c>
      <c r="F49" s="6">
        <v>25000</v>
      </c>
      <c r="G49" s="7">
        <v>0</v>
      </c>
      <c r="H49" s="7">
        <v>327635</v>
      </c>
      <c r="J49" s="8" t="s">
        <v>48</v>
      </c>
      <c r="K49" s="8" t="e">
        <f>VLOOKUP(F49,'[2]Cartola 05-2026'!$J$2:$S$85,10,0)</f>
        <v>#N/A</v>
      </c>
    </row>
    <row r="50" spans="1:11" x14ac:dyDescent="0.3">
      <c r="A50" s="8">
        <v>49</v>
      </c>
      <c r="B50" s="4" t="s">
        <v>56</v>
      </c>
      <c r="C50" s="4">
        <v>3</v>
      </c>
      <c r="D50" s="4">
        <v>2292828</v>
      </c>
      <c r="E50" s="5" t="s">
        <v>59</v>
      </c>
      <c r="F50" s="6">
        <v>13500</v>
      </c>
      <c r="G50" s="7">
        <v>0</v>
      </c>
      <c r="H50" s="7">
        <v>314135</v>
      </c>
      <c r="J50" s="8" t="s">
        <v>48</v>
      </c>
      <c r="K50" s="8" t="e">
        <f>VLOOKUP(F50,'[2]Cartola 05-2026'!$J$2:$S$85,10,0)</f>
        <v>#N/A</v>
      </c>
    </row>
    <row r="51" spans="1:11" x14ac:dyDescent="0.3">
      <c r="A51" s="8">
        <v>50</v>
      </c>
      <c r="B51" s="4" t="s">
        <v>56</v>
      </c>
      <c r="C51" s="4">
        <v>3</v>
      </c>
      <c r="D51" s="4">
        <v>3992169</v>
      </c>
      <c r="E51" s="5" t="s">
        <v>60</v>
      </c>
      <c r="F51" s="6">
        <v>29780</v>
      </c>
      <c r="G51" s="7">
        <v>0</v>
      </c>
      <c r="H51" s="7">
        <v>284355</v>
      </c>
      <c r="J51" s="8" t="s">
        <v>48</v>
      </c>
      <c r="K51" s="8" t="e">
        <f>VLOOKUP(F51,'[2]Cartola 05-2026'!$J$2:$S$85,10,0)</f>
        <v>#N/A</v>
      </c>
    </row>
    <row r="52" spans="1:11" x14ac:dyDescent="0.3">
      <c r="A52" s="8">
        <v>43</v>
      </c>
      <c r="B52" s="4" t="s">
        <v>46</v>
      </c>
      <c r="C52" s="4">
        <v>2</v>
      </c>
      <c r="D52" s="4"/>
      <c r="E52" s="5" t="s">
        <v>53</v>
      </c>
      <c r="F52" s="6">
        <v>60000</v>
      </c>
      <c r="G52" s="7">
        <v>0</v>
      </c>
      <c r="H52" s="7">
        <v>3766461</v>
      </c>
      <c r="J52" s="8" t="s">
        <v>54</v>
      </c>
      <c r="K52" s="8">
        <f>VLOOKUP(F52,'[2]Cartola 05-2026'!$J$2:$S$85,10,0)</f>
        <v>0</v>
      </c>
    </row>
    <row r="53" spans="1:11" x14ac:dyDescent="0.3">
      <c r="A53" s="8">
        <v>52</v>
      </c>
      <c r="B53" s="4" t="s">
        <v>61</v>
      </c>
      <c r="C53" s="4">
        <v>3</v>
      </c>
      <c r="D53" s="4">
        <v>4774636</v>
      </c>
      <c r="E53" s="5" t="s">
        <v>62</v>
      </c>
      <c r="F53" s="6">
        <v>111789</v>
      </c>
      <c r="G53" s="7">
        <v>0</v>
      </c>
      <c r="H53" s="7">
        <v>7172566</v>
      </c>
      <c r="J53" s="8" t="s">
        <v>48</v>
      </c>
      <c r="K53" s="8" t="e">
        <f>VLOOKUP(F53,'[2]Cartola 05-2026'!$J$2:$S$85,10,0)</f>
        <v>#N/A</v>
      </c>
    </row>
    <row r="54" spans="1:11" x14ac:dyDescent="0.3">
      <c r="A54" s="8">
        <v>53</v>
      </c>
      <c r="B54" s="4" t="s">
        <v>61</v>
      </c>
      <c r="C54" s="4">
        <v>3</v>
      </c>
      <c r="D54" s="4">
        <v>1121946</v>
      </c>
      <c r="E54" s="5" t="s">
        <v>63</v>
      </c>
      <c r="F54" s="6">
        <v>27550</v>
      </c>
      <c r="G54" s="7">
        <v>0</v>
      </c>
      <c r="H54" s="7">
        <v>7145016</v>
      </c>
      <c r="J54" s="8" t="s">
        <v>48</v>
      </c>
      <c r="K54" s="8" t="e">
        <f>VLOOKUP(F54,'[2]Cartola 05-2026'!$J$2:$S$85,10,0)</f>
        <v>#N/A</v>
      </c>
    </row>
    <row r="55" spans="1:11" x14ac:dyDescent="0.3">
      <c r="A55" s="8">
        <v>54</v>
      </c>
      <c r="B55" s="4" t="s">
        <v>61</v>
      </c>
      <c r="C55" s="4">
        <v>3</v>
      </c>
      <c r="D55" s="4">
        <v>7080396</v>
      </c>
      <c r="E55" s="5" t="s">
        <v>64</v>
      </c>
      <c r="F55" s="6">
        <v>1604033</v>
      </c>
      <c r="G55" s="7">
        <v>0</v>
      </c>
      <c r="H55" s="7">
        <v>5540983</v>
      </c>
      <c r="J55" s="8" t="s">
        <v>65</v>
      </c>
      <c r="K55" s="8" t="e">
        <f>VLOOKUP(F55,'[2]Cartola 05-2026'!$J$2:$S$85,10,0)</f>
        <v>#N/A</v>
      </c>
    </row>
    <row r="56" spans="1:11" x14ac:dyDescent="0.3">
      <c r="A56" s="8">
        <v>55</v>
      </c>
      <c r="B56" s="4" t="s">
        <v>66</v>
      </c>
      <c r="C56" s="4">
        <v>3</v>
      </c>
      <c r="D56" s="4">
        <v>1188799</v>
      </c>
      <c r="E56" s="5" t="s">
        <v>67</v>
      </c>
      <c r="F56" s="6">
        <v>12350</v>
      </c>
      <c r="G56" s="7">
        <v>0</v>
      </c>
      <c r="H56" s="7">
        <v>5528633</v>
      </c>
      <c r="J56" s="8" t="s">
        <v>68</v>
      </c>
      <c r="K56" s="8" t="e">
        <f>VLOOKUP(F56,'[2]Cartola 05-2026'!$J$2:$S$85,10,0)</f>
        <v>#N/A</v>
      </c>
    </row>
    <row r="57" spans="1:11" x14ac:dyDescent="0.3">
      <c r="A57" s="8">
        <v>56</v>
      </c>
      <c r="B57" s="4" t="s">
        <v>66</v>
      </c>
      <c r="C57" s="4">
        <v>3</v>
      </c>
      <c r="D57" s="4">
        <v>4036217</v>
      </c>
      <c r="E57" s="5" t="s">
        <v>36</v>
      </c>
      <c r="F57" s="6">
        <v>74427</v>
      </c>
      <c r="G57" s="7">
        <v>0</v>
      </c>
      <c r="H57" s="7">
        <v>5454206</v>
      </c>
      <c r="J57" s="8" t="s">
        <v>37</v>
      </c>
      <c r="K57" s="8" t="e">
        <f>VLOOKUP(F57,'[2]Cartola 05-2026'!$J$2:$S$85,10,0)</f>
        <v>#N/A</v>
      </c>
    </row>
    <row r="58" spans="1:11" x14ac:dyDescent="0.3">
      <c r="A58" s="8">
        <v>57</v>
      </c>
      <c r="B58" s="4" t="s">
        <v>66</v>
      </c>
      <c r="C58" s="4">
        <v>3</v>
      </c>
      <c r="D58" s="4">
        <v>7015549</v>
      </c>
      <c r="E58" s="5" t="s">
        <v>64</v>
      </c>
      <c r="F58" s="6">
        <v>2900130</v>
      </c>
      <c r="G58" s="7">
        <v>0</v>
      </c>
      <c r="H58" s="7">
        <v>2554076</v>
      </c>
      <c r="J58" s="8" t="s">
        <v>65</v>
      </c>
      <c r="K58" s="8" t="e">
        <f>VLOOKUP(F58,'[2]Cartola 05-2026'!$J$2:$S$85,10,0)</f>
        <v>#N/A</v>
      </c>
    </row>
    <row r="59" spans="1:11" x14ac:dyDescent="0.3">
      <c r="A59" s="8">
        <v>58</v>
      </c>
      <c r="B59" s="4" t="s">
        <v>66</v>
      </c>
      <c r="C59" s="4">
        <v>3</v>
      </c>
      <c r="D59" s="4">
        <v>7015551</v>
      </c>
      <c r="E59" s="5" t="s">
        <v>69</v>
      </c>
      <c r="F59" s="6">
        <v>1428000</v>
      </c>
      <c r="G59" s="7">
        <v>0</v>
      </c>
      <c r="H59" s="7">
        <v>1126076</v>
      </c>
      <c r="J59" s="8" t="s">
        <v>48</v>
      </c>
      <c r="K59" s="8" t="s">
        <v>494</v>
      </c>
    </row>
    <row r="60" spans="1:11" x14ac:dyDescent="0.3">
      <c r="A60" s="8">
        <v>59</v>
      </c>
      <c r="B60" s="4" t="s">
        <v>66</v>
      </c>
      <c r="C60" s="4">
        <v>3</v>
      </c>
      <c r="D60" s="4">
        <v>7015547</v>
      </c>
      <c r="E60" s="5" t="s">
        <v>70</v>
      </c>
      <c r="F60" s="6">
        <v>340000</v>
      </c>
      <c r="G60" s="7">
        <v>0</v>
      </c>
      <c r="H60" s="7">
        <v>786076</v>
      </c>
      <c r="J60" s="8" t="s">
        <v>48</v>
      </c>
      <c r="K60" s="8" t="e">
        <f>VLOOKUP(F60,'[2]Cartola 05-2026'!$J$2:$S$85,10,0)</f>
        <v>#N/A</v>
      </c>
    </row>
    <row r="61" spans="1:11" x14ac:dyDescent="0.3">
      <c r="A61" s="8">
        <v>60</v>
      </c>
      <c r="B61" s="4" t="s">
        <v>71</v>
      </c>
      <c r="C61" s="4">
        <v>3</v>
      </c>
      <c r="D61" s="4">
        <v>4356466</v>
      </c>
      <c r="E61" s="5" t="s">
        <v>50</v>
      </c>
      <c r="F61" s="6">
        <v>29990</v>
      </c>
      <c r="G61" s="7">
        <v>0</v>
      </c>
      <c r="H61" s="7">
        <v>756086</v>
      </c>
      <c r="J61" s="8" t="s">
        <v>48</v>
      </c>
      <c r="K61" s="8" t="e">
        <f>VLOOKUP(F61,'[2]Cartola 05-2026'!$J$2:$S$85,10,0)</f>
        <v>#N/A</v>
      </c>
    </row>
    <row r="62" spans="1:11" x14ac:dyDescent="0.3">
      <c r="A62" s="8">
        <v>61</v>
      </c>
      <c r="B62" s="4" t="s">
        <v>71</v>
      </c>
      <c r="C62" s="4">
        <v>3</v>
      </c>
      <c r="D62" s="4">
        <v>4734794</v>
      </c>
      <c r="E62" s="5" t="s">
        <v>72</v>
      </c>
      <c r="F62" s="6">
        <v>2000</v>
      </c>
      <c r="G62" s="7">
        <v>0</v>
      </c>
      <c r="H62" s="7">
        <v>754086</v>
      </c>
      <c r="J62" s="8" t="s">
        <v>48</v>
      </c>
      <c r="K62" s="8" t="e">
        <f>VLOOKUP(F62,'[2]Cartola 05-2026'!$J$2:$S$85,10,0)</f>
        <v>#N/A</v>
      </c>
    </row>
    <row r="63" spans="1:11" x14ac:dyDescent="0.3">
      <c r="A63" s="8">
        <v>62</v>
      </c>
      <c r="B63" s="4" t="s">
        <v>73</v>
      </c>
      <c r="C63" s="4">
        <v>3</v>
      </c>
      <c r="D63" s="4"/>
      <c r="E63" s="5" t="s">
        <v>74</v>
      </c>
      <c r="F63" s="6">
        <v>90000</v>
      </c>
      <c r="G63" s="7">
        <v>0</v>
      </c>
      <c r="H63" s="7">
        <v>664086</v>
      </c>
      <c r="J63" s="8" t="s">
        <v>54</v>
      </c>
      <c r="K63" s="8" t="e">
        <f>VLOOKUP(F63,'[2]Cartola 05-2026'!$J$2:$S$85,10,0)</f>
        <v>#N/A</v>
      </c>
    </row>
    <row r="64" spans="1:11" x14ac:dyDescent="0.3">
      <c r="A64" s="8">
        <v>63</v>
      </c>
      <c r="B64" s="4" t="s">
        <v>73</v>
      </c>
      <c r="C64" s="4">
        <v>3</v>
      </c>
      <c r="D64" s="4">
        <v>4519061</v>
      </c>
      <c r="E64" s="5" t="s">
        <v>50</v>
      </c>
      <c r="F64" s="6">
        <v>1590</v>
      </c>
      <c r="G64" s="7">
        <v>0</v>
      </c>
      <c r="H64" s="7">
        <v>662496</v>
      </c>
      <c r="J64" s="8" t="s">
        <v>48</v>
      </c>
      <c r="K64" s="8" t="e">
        <f>VLOOKUP(F64,'[2]Cartola 05-2026'!$J$2:$S$85,10,0)</f>
        <v>#N/A</v>
      </c>
    </row>
    <row r="65" spans="1:11" x14ac:dyDescent="0.3">
      <c r="A65" s="8">
        <v>51</v>
      </c>
      <c r="B65" s="4" t="s">
        <v>61</v>
      </c>
      <c r="C65" s="4">
        <v>3</v>
      </c>
      <c r="D65" s="4">
        <v>1077</v>
      </c>
      <c r="E65" s="5" t="s">
        <v>12</v>
      </c>
      <c r="F65" s="6">
        <v>0</v>
      </c>
      <c r="G65" s="7">
        <v>7000000</v>
      </c>
      <c r="H65" s="7">
        <v>7284355</v>
      </c>
      <c r="J65" s="8" t="s">
        <v>13</v>
      </c>
      <c r="K65" s="8">
        <f>VLOOKUP(F65,'[2]Cartola 05-2026'!$J$2:$S$85,10,0)</f>
        <v>0</v>
      </c>
    </row>
    <row r="66" spans="1:11" x14ac:dyDescent="0.3">
      <c r="A66" s="8">
        <v>65</v>
      </c>
      <c r="B66" s="4" t="s">
        <v>76</v>
      </c>
      <c r="C66" s="4">
        <v>3</v>
      </c>
      <c r="D66" s="4"/>
      <c r="E66" s="5" t="s">
        <v>77</v>
      </c>
      <c r="F66" s="6">
        <v>50000</v>
      </c>
      <c r="G66" s="7">
        <v>0</v>
      </c>
      <c r="H66" s="7">
        <v>597496</v>
      </c>
      <c r="J66" s="8" t="s">
        <v>54</v>
      </c>
      <c r="K66" s="8" t="e">
        <f>VLOOKUP(F66,'[2]Cartola 05-2026'!$J$2:$S$85,10,0)</f>
        <v>#N/A</v>
      </c>
    </row>
    <row r="67" spans="1:11" x14ac:dyDescent="0.3">
      <c r="A67" s="8">
        <v>64</v>
      </c>
      <c r="B67" s="4" t="s">
        <v>73</v>
      </c>
      <c r="C67" s="4">
        <v>3</v>
      </c>
      <c r="D67" s="4">
        <v>2531871</v>
      </c>
      <c r="E67" s="5" t="s">
        <v>75</v>
      </c>
      <c r="F67" s="6">
        <v>15000</v>
      </c>
      <c r="G67" s="7">
        <v>0</v>
      </c>
      <c r="H67" s="7">
        <v>647496</v>
      </c>
      <c r="J67" s="8" t="s">
        <v>48</v>
      </c>
      <c r="K67" s="8">
        <v>0</v>
      </c>
    </row>
    <row r="68" spans="1:11" x14ac:dyDescent="0.3">
      <c r="A68" s="8">
        <v>66</v>
      </c>
      <c r="B68" s="4" t="s">
        <v>76</v>
      </c>
      <c r="C68" s="4">
        <v>3</v>
      </c>
      <c r="D68" s="4">
        <v>1077</v>
      </c>
      <c r="E68" s="5" t="s">
        <v>78</v>
      </c>
      <c r="F68" s="6">
        <v>0</v>
      </c>
      <c r="G68" s="7">
        <v>239760</v>
      </c>
      <c r="H68" s="7">
        <v>837256</v>
      </c>
      <c r="J68" s="8" t="s">
        <v>490</v>
      </c>
      <c r="K68" s="8">
        <f>VLOOKUP(F68,'[2]Cartola 05-2026'!$J$2:$S$85,10,0)</f>
        <v>0</v>
      </c>
    </row>
    <row r="69" spans="1:11" x14ac:dyDescent="0.3">
      <c r="A69" s="8">
        <v>67</v>
      </c>
      <c r="B69" s="4" t="s">
        <v>79</v>
      </c>
      <c r="C69" s="4">
        <v>3</v>
      </c>
      <c r="D69" s="4">
        <v>1077</v>
      </c>
      <c r="E69" s="5" t="s">
        <v>12</v>
      </c>
      <c r="F69" s="6">
        <v>0</v>
      </c>
      <c r="G69" s="7">
        <v>7000000</v>
      </c>
      <c r="H69" s="7">
        <v>7837256</v>
      </c>
      <c r="J69" s="8" t="s">
        <v>13</v>
      </c>
      <c r="K69" s="8">
        <f>VLOOKUP(F69,'[2]Cartola 05-2026'!$J$2:$S$85,10,0)</f>
        <v>0</v>
      </c>
    </row>
    <row r="70" spans="1:11" x14ac:dyDescent="0.3">
      <c r="A70" s="8">
        <v>68</v>
      </c>
      <c r="B70" s="4" t="s">
        <v>79</v>
      </c>
      <c r="C70" s="4">
        <v>3</v>
      </c>
      <c r="D70" s="4">
        <v>1077</v>
      </c>
      <c r="E70" s="5" t="s">
        <v>12</v>
      </c>
      <c r="F70" s="6">
        <v>0</v>
      </c>
      <c r="G70" s="7">
        <v>7000000</v>
      </c>
      <c r="H70" s="7">
        <v>14837256</v>
      </c>
      <c r="J70" s="8" t="s">
        <v>13</v>
      </c>
      <c r="K70" s="8">
        <f>VLOOKUP(F70,'[2]Cartola 05-2026'!$J$2:$S$85,10,0)</f>
        <v>0</v>
      </c>
    </row>
    <row r="71" spans="1:11" x14ac:dyDescent="0.3">
      <c r="A71" s="8">
        <v>70</v>
      </c>
      <c r="B71" s="4" t="s">
        <v>79</v>
      </c>
      <c r="C71" s="4">
        <v>3</v>
      </c>
      <c r="D71" s="4">
        <v>4036217</v>
      </c>
      <c r="E71" s="5" t="s">
        <v>36</v>
      </c>
      <c r="F71" s="6">
        <v>36837</v>
      </c>
      <c r="G71" s="7">
        <v>0</v>
      </c>
      <c r="H71" s="7">
        <v>14760419</v>
      </c>
      <c r="J71" s="8" t="s">
        <v>37</v>
      </c>
      <c r="K71" s="8" t="e">
        <f>VLOOKUP(F71,'[2]Cartola 05-2026'!$J$2:$S$85,10,0)</f>
        <v>#N/A</v>
      </c>
    </row>
    <row r="72" spans="1:11" x14ac:dyDescent="0.3">
      <c r="A72" s="8">
        <v>71</v>
      </c>
      <c r="B72" s="4" t="s">
        <v>79</v>
      </c>
      <c r="C72" s="4">
        <v>3</v>
      </c>
      <c r="D72" s="4">
        <v>7024374</v>
      </c>
      <c r="E72" s="5" t="s">
        <v>18</v>
      </c>
      <c r="F72" s="6">
        <v>3328000</v>
      </c>
      <c r="G72" s="7">
        <v>0</v>
      </c>
      <c r="H72" s="7">
        <v>11432419</v>
      </c>
      <c r="J72" s="8" t="s">
        <v>48</v>
      </c>
      <c r="K72" s="8" t="e">
        <f>VLOOKUP(F72,'[2]Cartola 05-2026'!$J$2:$S$85,10,0)</f>
        <v>#N/A</v>
      </c>
    </row>
    <row r="73" spans="1:11" x14ac:dyDescent="0.3">
      <c r="A73" s="8">
        <v>69</v>
      </c>
      <c r="B73" s="4" t="s">
        <v>79</v>
      </c>
      <c r="C73" s="4">
        <v>3</v>
      </c>
      <c r="D73" s="4"/>
      <c r="E73" s="5" t="s">
        <v>80</v>
      </c>
      <c r="F73" s="6">
        <v>40000</v>
      </c>
      <c r="G73" s="7">
        <v>0</v>
      </c>
      <c r="H73" s="7">
        <v>14797256</v>
      </c>
      <c r="J73" s="8" t="s">
        <v>54</v>
      </c>
      <c r="K73" s="8">
        <f>VLOOKUP(F73,'[2]Cartola 05-2026'!$J$2:$S$85,10,0)</f>
        <v>0</v>
      </c>
    </row>
    <row r="74" spans="1:11" x14ac:dyDescent="0.3">
      <c r="A74" s="8">
        <v>72</v>
      </c>
      <c r="B74" s="4" t="s">
        <v>79</v>
      </c>
      <c r="C74" s="4">
        <v>3</v>
      </c>
      <c r="D74" s="4">
        <v>7024375</v>
      </c>
      <c r="E74" s="5" t="s">
        <v>18</v>
      </c>
      <c r="F74" s="6">
        <v>5000000</v>
      </c>
      <c r="G74" s="7">
        <v>0</v>
      </c>
      <c r="H74" s="7">
        <v>6432419</v>
      </c>
      <c r="J74" s="8" t="s">
        <v>48</v>
      </c>
      <c r="K74" s="8">
        <v>0</v>
      </c>
    </row>
    <row r="75" spans="1:11" x14ac:dyDescent="0.3">
      <c r="A75" s="8">
        <v>73</v>
      </c>
      <c r="B75" s="4" t="s">
        <v>79</v>
      </c>
      <c r="C75" s="4">
        <v>3</v>
      </c>
      <c r="D75" s="4">
        <v>7024376</v>
      </c>
      <c r="E75" s="5" t="s">
        <v>18</v>
      </c>
      <c r="F75" s="6">
        <v>5000000</v>
      </c>
      <c r="G75" s="7">
        <v>0</v>
      </c>
      <c r="H75" s="7">
        <v>1432419</v>
      </c>
      <c r="J75" s="8" t="s">
        <v>48</v>
      </c>
      <c r="K75" s="8">
        <v>0</v>
      </c>
    </row>
    <row r="76" spans="1:11" x14ac:dyDescent="0.3">
      <c r="A76" s="8">
        <v>75</v>
      </c>
      <c r="B76" s="4" t="s">
        <v>81</v>
      </c>
      <c r="C76" s="4">
        <v>3</v>
      </c>
      <c r="D76" s="4">
        <v>1107806</v>
      </c>
      <c r="E76" s="5" t="s">
        <v>83</v>
      </c>
      <c r="F76" s="6">
        <v>45160</v>
      </c>
      <c r="G76" s="7">
        <v>0</v>
      </c>
      <c r="H76" s="7">
        <v>1686959</v>
      </c>
      <c r="J76" s="8" t="s">
        <v>48</v>
      </c>
      <c r="K76" s="8" t="e">
        <f>VLOOKUP(F76,'[2]Cartola 05-2026'!$J$2:$S$85,10,0)</f>
        <v>#N/A</v>
      </c>
    </row>
    <row r="77" spans="1:11" x14ac:dyDescent="0.3">
      <c r="A77" s="8">
        <v>76</v>
      </c>
      <c r="B77" s="4" t="s">
        <v>81</v>
      </c>
      <c r="C77" s="4">
        <v>3</v>
      </c>
      <c r="D77" s="4">
        <v>7044302</v>
      </c>
      <c r="E77" s="5" t="s">
        <v>84</v>
      </c>
      <c r="F77" s="6">
        <v>234000</v>
      </c>
      <c r="G77" s="7">
        <v>0</v>
      </c>
      <c r="H77" s="7">
        <v>1452959</v>
      </c>
      <c r="J77" s="8" t="s">
        <v>48</v>
      </c>
      <c r="K77" s="8" t="e">
        <f>VLOOKUP(F77,'[2]Cartola 05-2026'!$J$2:$S$85,10,0)</f>
        <v>#N/A</v>
      </c>
    </row>
    <row r="78" spans="1:11" x14ac:dyDescent="0.3">
      <c r="A78" s="8">
        <v>74</v>
      </c>
      <c r="B78" s="4" t="s">
        <v>81</v>
      </c>
      <c r="C78" s="4">
        <v>3</v>
      </c>
      <c r="D78" s="4">
        <v>1077</v>
      </c>
      <c r="E78" s="5" t="s">
        <v>82</v>
      </c>
      <c r="F78" s="6">
        <v>0</v>
      </c>
      <c r="G78" s="7">
        <v>299700</v>
      </c>
      <c r="H78" s="7">
        <v>1732119</v>
      </c>
      <c r="J78" s="8" t="s">
        <v>490</v>
      </c>
      <c r="K78" s="8">
        <f>VLOOKUP(F78,'[2]Cartola 05-2026'!$J$2:$S$85,10,0)</f>
        <v>0</v>
      </c>
    </row>
    <row r="79" spans="1:11" x14ac:dyDescent="0.3">
      <c r="A79" s="8">
        <v>78</v>
      </c>
      <c r="B79" s="4" t="s">
        <v>81</v>
      </c>
      <c r="C79" s="4">
        <v>3</v>
      </c>
      <c r="D79" s="4">
        <v>7094544</v>
      </c>
      <c r="E79" s="5" t="s">
        <v>25</v>
      </c>
      <c r="F79" s="6">
        <v>2975000</v>
      </c>
      <c r="G79" s="7">
        <v>0</v>
      </c>
      <c r="H79" s="7">
        <v>5477959</v>
      </c>
      <c r="J79" s="8" t="s">
        <v>48</v>
      </c>
      <c r="K79" s="8" t="e">
        <f>VLOOKUP(F79,'[2]Cartola 05-2026'!$J$2:$S$85,10,0)</f>
        <v>#N/A</v>
      </c>
    </row>
    <row r="80" spans="1:11" x14ac:dyDescent="0.3">
      <c r="A80" s="8">
        <v>77</v>
      </c>
      <c r="B80" s="4" t="s">
        <v>81</v>
      </c>
      <c r="C80" s="4">
        <v>3</v>
      </c>
      <c r="D80" s="4">
        <v>1077</v>
      </c>
      <c r="E80" s="5" t="s">
        <v>12</v>
      </c>
      <c r="F80" s="6">
        <v>0</v>
      </c>
      <c r="G80" s="7">
        <v>7000000</v>
      </c>
      <c r="H80" s="7">
        <v>8452959</v>
      </c>
      <c r="J80" s="8" t="s">
        <v>13</v>
      </c>
      <c r="K80" s="8">
        <f>VLOOKUP(F80,'[2]Cartola 05-2026'!$J$2:$S$85,10,0)</f>
        <v>0</v>
      </c>
    </row>
    <row r="81" spans="1:11" x14ac:dyDescent="0.3">
      <c r="A81" s="8">
        <v>79</v>
      </c>
      <c r="B81" s="4" t="s">
        <v>85</v>
      </c>
      <c r="C81" s="4">
        <v>3</v>
      </c>
      <c r="D81" s="4">
        <v>1077</v>
      </c>
      <c r="E81" s="5" t="s">
        <v>12</v>
      </c>
      <c r="F81" s="6">
        <v>0</v>
      </c>
      <c r="G81" s="7">
        <v>7000000</v>
      </c>
      <c r="H81" s="7">
        <v>12477959</v>
      </c>
      <c r="J81" s="8" t="s">
        <v>13</v>
      </c>
      <c r="K81" s="8">
        <f>VLOOKUP(F81,'[2]Cartola 05-2026'!$J$2:$S$85,10,0)</f>
        <v>0</v>
      </c>
    </row>
    <row r="82" spans="1:11" x14ac:dyDescent="0.3">
      <c r="A82" s="8">
        <v>80</v>
      </c>
      <c r="B82" s="4" t="s">
        <v>85</v>
      </c>
      <c r="C82" s="4">
        <v>3</v>
      </c>
      <c r="D82" s="4">
        <v>1077</v>
      </c>
      <c r="E82" s="5" t="s">
        <v>12</v>
      </c>
      <c r="F82" s="6">
        <v>0</v>
      </c>
      <c r="G82" s="7">
        <v>7000000</v>
      </c>
      <c r="H82" s="7">
        <v>19477959</v>
      </c>
      <c r="J82" s="8" t="s">
        <v>13</v>
      </c>
      <c r="K82" s="8">
        <f>VLOOKUP(F82,'[2]Cartola 05-2026'!$J$2:$S$85,10,0)</f>
        <v>0</v>
      </c>
    </row>
    <row r="83" spans="1:11" x14ac:dyDescent="0.3">
      <c r="A83" s="8">
        <v>82</v>
      </c>
      <c r="B83" s="4" t="s">
        <v>85</v>
      </c>
      <c r="C83" s="4">
        <v>3</v>
      </c>
      <c r="D83" s="4">
        <v>7048353</v>
      </c>
      <c r="E83" s="5" t="s">
        <v>25</v>
      </c>
      <c r="F83" s="6">
        <v>950000</v>
      </c>
      <c r="G83" s="7">
        <v>0</v>
      </c>
      <c r="H83" s="7">
        <v>25527959</v>
      </c>
      <c r="J83" s="8" t="s">
        <v>48</v>
      </c>
      <c r="K83" s="8" t="e">
        <f>VLOOKUP(F83,'[2]Cartola 05-2026'!$J$2:$S$85,10,0)</f>
        <v>#N/A</v>
      </c>
    </row>
    <row r="84" spans="1:11" x14ac:dyDescent="0.3">
      <c r="A84" s="8">
        <v>83</v>
      </c>
      <c r="B84" s="4" t="s">
        <v>85</v>
      </c>
      <c r="C84" s="4">
        <v>3</v>
      </c>
      <c r="D84" s="4">
        <v>7048355</v>
      </c>
      <c r="E84" s="5" t="s">
        <v>86</v>
      </c>
      <c r="F84" s="6">
        <v>730133</v>
      </c>
      <c r="G84" s="7">
        <v>0</v>
      </c>
      <c r="H84" s="7">
        <v>24797826</v>
      </c>
      <c r="J84" s="8" t="s">
        <v>48</v>
      </c>
      <c r="K84" s="8" t="s">
        <v>495</v>
      </c>
    </row>
    <row r="85" spans="1:11" x14ac:dyDescent="0.3">
      <c r="A85" s="8">
        <v>84</v>
      </c>
      <c r="B85" s="4" t="s">
        <v>85</v>
      </c>
      <c r="C85" s="4">
        <v>4</v>
      </c>
      <c r="D85" s="4">
        <v>7069783</v>
      </c>
      <c r="E85" s="5" t="s">
        <v>87</v>
      </c>
      <c r="F85" s="6">
        <v>1000</v>
      </c>
      <c r="G85" s="7">
        <v>0</v>
      </c>
      <c r="H85" s="7">
        <v>24796826</v>
      </c>
      <c r="J85" s="8" t="s">
        <v>48</v>
      </c>
      <c r="K85" s="8" t="s">
        <v>495</v>
      </c>
    </row>
    <row r="86" spans="1:11" x14ac:dyDescent="0.3">
      <c r="A86" s="8">
        <v>81</v>
      </c>
      <c r="B86" s="4" t="s">
        <v>85</v>
      </c>
      <c r="C86" s="4">
        <v>3</v>
      </c>
      <c r="D86" s="4">
        <v>1077</v>
      </c>
      <c r="E86" s="5" t="s">
        <v>12</v>
      </c>
      <c r="F86" s="6">
        <v>0</v>
      </c>
      <c r="G86" s="7">
        <v>7000000</v>
      </c>
      <c r="H86" s="7">
        <v>26477959</v>
      </c>
      <c r="J86" s="8" t="s">
        <v>13</v>
      </c>
      <c r="K86" s="8">
        <f>VLOOKUP(F86,'[2]Cartola 05-2026'!$J$2:$S$85,10,0)</f>
        <v>0</v>
      </c>
    </row>
    <row r="87" spans="1:11" x14ac:dyDescent="0.3">
      <c r="A87" s="8">
        <v>86</v>
      </c>
      <c r="B87" s="4" t="s">
        <v>85</v>
      </c>
      <c r="C87" s="4">
        <v>4</v>
      </c>
      <c r="D87" s="4">
        <v>7077487</v>
      </c>
      <c r="E87" s="5" t="s">
        <v>88</v>
      </c>
      <c r="F87" s="6">
        <v>856714</v>
      </c>
      <c r="G87" s="7">
        <v>0</v>
      </c>
      <c r="H87" s="7">
        <v>18940112</v>
      </c>
      <c r="J87" s="8" t="s">
        <v>48</v>
      </c>
      <c r="K87" s="8" t="s">
        <v>495</v>
      </c>
    </row>
    <row r="88" spans="1:11" x14ac:dyDescent="0.3">
      <c r="A88" s="8">
        <v>87</v>
      </c>
      <c r="B88" s="4" t="s">
        <v>85</v>
      </c>
      <c r="C88" s="4">
        <v>4</v>
      </c>
      <c r="D88" s="4">
        <v>7005780</v>
      </c>
      <c r="E88" s="5" t="s">
        <v>89</v>
      </c>
      <c r="F88" s="6">
        <v>13841236</v>
      </c>
      <c r="G88" s="7">
        <v>0</v>
      </c>
      <c r="H88" s="7">
        <v>5098876</v>
      </c>
      <c r="J88" s="8" t="s">
        <v>48</v>
      </c>
      <c r="K88" s="8" t="e">
        <f>VLOOKUP(F88,'[2]Cartola 05-2026'!$J$2:$S$85,10,0)</f>
        <v>#N/A</v>
      </c>
    </row>
    <row r="89" spans="1:11" x14ac:dyDescent="0.3">
      <c r="A89" s="8">
        <v>85</v>
      </c>
      <c r="B89" s="4" t="s">
        <v>85</v>
      </c>
      <c r="C89" s="4">
        <v>4</v>
      </c>
      <c r="D89" s="4">
        <v>7048354</v>
      </c>
      <c r="E89" s="5" t="s">
        <v>25</v>
      </c>
      <c r="F89" s="6">
        <v>5000000</v>
      </c>
      <c r="G89" s="7">
        <v>0</v>
      </c>
      <c r="H89" s="7">
        <v>19796826</v>
      </c>
      <c r="J89" s="8" t="s">
        <v>48</v>
      </c>
      <c r="K89" s="8">
        <v>0</v>
      </c>
    </row>
    <row r="90" spans="1:11" x14ac:dyDescent="0.3">
      <c r="A90" s="8">
        <v>88</v>
      </c>
      <c r="B90" s="4" t="s">
        <v>85</v>
      </c>
      <c r="C90" s="4">
        <v>4</v>
      </c>
      <c r="D90" s="4"/>
      <c r="E90" s="5" t="s">
        <v>90</v>
      </c>
      <c r="F90" s="6">
        <v>20000</v>
      </c>
      <c r="G90" s="7">
        <v>0</v>
      </c>
      <c r="H90" s="7">
        <v>5078876</v>
      </c>
      <c r="J90" s="8" t="s">
        <v>54</v>
      </c>
      <c r="K90" s="8">
        <v>0</v>
      </c>
    </row>
    <row r="91" spans="1:11" x14ac:dyDescent="0.3">
      <c r="A91" s="8">
        <v>90</v>
      </c>
      <c r="B91" s="4" t="s">
        <v>85</v>
      </c>
      <c r="C91" s="4">
        <v>4</v>
      </c>
      <c r="D91" s="4">
        <v>4434418</v>
      </c>
      <c r="E91" s="5" t="s">
        <v>50</v>
      </c>
      <c r="F91" s="6">
        <v>5200</v>
      </c>
      <c r="G91" s="7">
        <v>0</v>
      </c>
      <c r="H91" s="7">
        <v>5013676</v>
      </c>
      <c r="J91" s="8" t="s">
        <v>48</v>
      </c>
      <c r="K91" s="8" t="e">
        <f>VLOOKUP(F91,'[2]Cartola 05-2026'!$J$2:$S$85,10,0)</f>
        <v>#N/A</v>
      </c>
    </row>
    <row r="92" spans="1:11" x14ac:dyDescent="0.3">
      <c r="A92" s="8">
        <v>91</v>
      </c>
      <c r="B92" s="4" t="s">
        <v>85</v>
      </c>
      <c r="C92" s="4">
        <v>4</v>
      </c>
      <c r="D92" s="4">
        <v>4488031</v>
      </c>
      <c r="E92" s="5" t="s">
        <v>50</v>
      </c>
      <c r="F92" s="6">
        <v>9000</v>
      </c>
      <c r="G92" s="7">
        <v>0</v>
      </c>
      <c r="H92" s="7">
        <v>5004676</v>
      </c>
      <c r="J92" s="8" t="s">
        <v>48</v>
      </c>
      <c r="K92" s="8" t="e">
        <f>VLOOKUP(F92,'[2]Cartola 05-2026'!$J$2:$S$85,10,0)</f>
        <v>#N/A</v>
      </c>
    </row>
    <row r="93" spans="1:11" x14ac:dyDescent="0.3">
      <c r="A93" s="8">
        <v>92</v>
      </c>
      <c r="B93" s="4" t="s">
        <v>85</v>
      </c>
      <c r="C93" s="4">
        <v>4</v>
      </c>
      <c r="D93" s="4">
        <v>1188799</v>
      </c>
      <c r="E93" s="5" t="s">
        <v>67</v>
      </c>
      <c r="F93" s="6">
        <v>12350</v>
      </c>
      <c r="G93" s="7">
        <v>0</v>
      </c>
      <c r="H93" s="7">
        <v>4992326</v>
      </c>
      <c r="J93" s="8" t="s">
        <v>68</v>
      </c>
      <c r="K93" s="8" t="e">
        <f>VLOOKUP(F93,'[2]Cartola 05-2026'!$J$2:$S$85,10,0)</f>
        <v>#N/A</v>
      </c>
    </row>
    <row r="94" spans="1:11" x14ac:dyDescent="0.3">
      <c r="A94" s="8">
        <v>93</v>
      </c>
      <c r="B94" s="4" t="s">
        <v>85</v>
      </c>
      <c r="C94" s="4">
        <v>4</v>
      </c>
      <c r="D94" s="4">
        <v>4036217</v>
      </c>
      <c r="E94" s="5" t="s">
        <v>36</v>
      </c>
      <c r="F94" s="6">
        <v>35750</v>
      </c>
      <c r="G94" s="7">
        <v>0</v>
      </c>
      <c r="H94" s="7">
        <v>4956576</v>
      </c>
      <c r="J94" s="8" t="s">
        <v>37</v>
      </c>
      <c r="K94" s="8" t="e">
        <f>VLOOKUP(F94,'[2]Cartola 05-2026'!$J$2:$S$85,10,0)</f>
        <v>#N/A</v>
      </c>
    </row>
    <row r="95" spans="1:11" x14ac:dyDescent="0.3">
      <c r="A95" s="8">
        <v>94</v>
      </c>
      <c r="B95" s="4" t="s">
        <v>85</v>
      </c>
      <c r="C95" s="4">
        <v>4</v>
      </c>
      <c r="D95" s="4">
        <v>1084280</v>
      </c>
      <c r="E95" s="5" t="s">
        <v>16</v>
      </c>
      <c r="F95" s="6">
        <v>22436</v>
      </c>
      <c r="G95" s="7">
        <v>0</v>
      </c>
      <c r="H95" s="7">
        <v>4934140</v>
      </c>
      <c r="J95" s="8" t="s">
        <v>48</v>
      </c>
      <c r="K95" s="8" t="e">
        <f>VLOOKUP(F95,'[2]Cartola 05-2026'!$J$2:$S$85,10,0)</f>
        <v>#N/A</v>
      </c>
    </row>
    <row r="96" spans="1:11" x14ac:dyDescent="0.3">
      <c r="A96" s="8">
        <v>89</v>
      </c>
      <c r="B96" s="4" t="s">
        <v>85</v>
      </c>
      <c r="C96" s="4">
        <v>4</v>
      </c>
      <c r="D96" s="4"/>
      <c r="E96" s="5" t="s">
        <v>91</v>
      </c>
      <c r="F96" s="6">
        <v>60000</v>
      </c>
      <c r="G96" s="7">
        <v>0</v>
      </c>
      <c r="H96" s="7">
        <v>5018876</v>
      </c>
      <c r="J96" s="8" t="s">
        <v>54</v>
      </c>
      <c r="K96" s="8">
        <v>0</v>
      </c>
    </row>
    <row r="97" spans="1:11" x14ac:dyDescent="0.3">
      <c r="A97" s="8">
        <v>96</v>
      </c>
      <c r="B97" s="4" t="s">
        <v>92</v>
      </c>
      <c r="C97" s="4">
        <v>4</v>
      </c>
      <c r="D97" s="4">
        <v>2292828</v>
      </c>
      <c r="E97" s="5" t="s">
        <v>59</v>
      </c>
      <c r="F97" s="6">
        <v>5000</v>
      </c>
      <c r="G97" s="7">
        <v>0</v>
      </c>
      <c r="H97" s="7">
        <v>9929140</v>
      </c>
      <c r="J97" s="8" t="s">
        <v>48</v>
      </c>
      <c r="K97" s="8" t="e">
        <f>VLOOKUP(F97,'[2]Cartola 05-2026'!$J$2:$S$85,10,0)</f>
        <v>#N/A</v>
      </c>
    </row>
    <row r="98" spans="1:11" x14ac:dyDescent="0.3">
      <c r="A98" s="8">
        <v>97</v>
      </c>
      <c r="B98" s="4" t="s">
        <v>92</v>
      </c>
      <c r="C98" s="4">
        <v>4</v>
      </c>
      <c r="D98" s="4">
        <v>4488031</v>
      </c>
      <c r="E98" s="5" t="s">
        <v>50</v>
      </c>
      <c r="F98" s="6">
        <v>7460</v>
      </c>
      <c r="G98" s="7">
        <v>0</v>
      </c>
      <c r="H98" s="7">
        <v>9921680</v>
      </c>
      <c r="J98" s="8" t="s">
        <v>48</v>
      </c>
      <c r="K98" s="8" t="e">
        <f>VLOOKUP(F98,'[2]Cartola 05-2026'!$J$2:$S$85,10,0)</f>
        <v>#N/A</v>
      </c>
    </row>
    <row r="99" spans="1:11" x14ac:dyDescent="0.3">
      <c r="A99" s="8">
        <v>98</v>
      </c>
      <c r="B99" s="4" t="s">
        <v>92</v>
      </c>
      <c r="C99" s="4">
        <v>4</v>
      </c>
      <c r="D99" s="4">
        <v>1231999</v>
      </c>
      <c r="E99" s="5" t="s">
        <v>93</v>
      </c>
      <c r="F99" s="6">
        <v>160380</v>
      </c>
      <c r="G99" s="7">
        <v>0</v>
      </c>
      <c r="H99" s="7">
        <v>9761300</v>
      </c>
      <c r="J99" s="8" t="s">
        <v>48</v>
      </c>
      <c r="K99" s="8" t="e">
        <f>VLOOKUP(F99,'[2]Cartola 05-2026'!$J$2:$S$85,10,0)</f>
        <v>#N/A</v>
      </c>
    </row>
    <row r="100" spans="1:11" x14ac:dyDescent="0.3">
      <c r="A100" s="8">
        <v>99</v>
      </c>
      <c r="B100" s="4" t="s">
        <v>92</v>
      </c>
      <c r="C100" s="4">
        <v>4</v>
      </c>
      <c r="D100" s="4">
        <v>7023593</v>
      </c>
      <c r="E100" s="5" t="s">
        <v>94</v>
      </c>
      <c r="F100" s="6">
        <v>567987</v>
      </c>
      <c r="G100" s="7">
        <v>0</v>
      </c>
      <c r="H100" s="7">
        <v>9193313</v>
      </c>
      <c r="J100" s="8" t="s">
        <v>48</v>
      </c>
      <c r="K100" s="8" t="s">
        <v>495</v>
      </c>
    </row>
    <row r="101" spans="1:11" x14ac:dyDescent="0.3">
      <c r="A101" s="8">
        <v>100</v>
      </c>
      <c r="B101" s="4" t="s">
        <v>92</v>
      </c>
      <c r="C101" s="4">
        <v>4</v>
      </c>
      <c r="D101" s="4">
        <v>7022298</v>
      </c>
      <c r="E101" s="5" t="s">
        <v>95</v>
      </c>
      <c r="F101" s="6">
        <v>877249</v>
      </c>
      <c r="G101" s="7">
        <v>0</v>
      </c>
      <c r="H101" s="7">
        <v>8316064</v>
      </c>
      <c r="J101" s="8" t="s">
        <v>48</v>
      </c>
      <c r="K101" s="8" t="e">
        <f>VLOOKUP(F101,'[2]Cartola 05-2026'!$J$2:$S$85,10,0)</f>
        <v>#N/A</v>
      </c>
    </row>
    <row r="102" spans="1:11" x14ac:dyDescent="0.3">
      <c r="A102" s="8">
        <v>101</v>
      </c>
      <c r="B102" s="4" t="s">
        <v>92</v>
      </c>
      <c r="C102" s="4">
        <v>4</v>
      </c>
      <c r="D102" s="4">
        <v>7020832</v>
      </c>
      <c r="E102" s="5" t="s">
        <v>96</v>
      </c>
      <c r="F102" s="6">
        <v>1663612</v>
      </c>
      <c r="G102" s="7">
        <v>0</v>
      </c>
      <c r="H102" s="7">
        <v>6652452</v>
      </c>
      <c r="J102" s="8" t="s">
        <v>48</v>
      </c>
      <c r="K102" s="8" t="e">
        <f>VLOOKUP(F102,'[2]Cartola 05-2026'!$J$2:$S$85,10,0)</f>
        <v>#N/A</v>
      </c>
    </row>
    <row r="103" spans="1:11" x14ac:dyDescent="0.3">
      <c r="A103" s="8">
        <v>102</v>
      </c>
      <c r="B103" s="4" t="s">
        <v>92</v>
      </c>
      <c r="C103" s="4">
        <v>4</v>
      </c>
      <c r="D103" s="4">
        <v>7020829</v>
      </c>
      <c r="E103" s="5" t="s">
        <v>97</v>
      </c>
      <c r="F103" s="6">
        <v>632756</v>
      </c>
      <c r="G103" s="7">
        <v>0</v>
      </c>
      <c r="H103" s="7">
        <v>6019696</v>
      </c>
      <c r="J103" s="8" t="s">
        <v>48</v>
      </c>
      <c r="K103" s="8" t="s">
        <v>495</v>
      </c>
    </row>
    <row r="104" spans="1:11" x14ac:dyDescent="0.3">
      <c r="A104" s="8">
        <v>103</v>
      </c>
      <c r="B104" s="4" t="s">
        <v>92</v>
      </c>
      <c r="C104" s="4">
        <v>4</v>
      </c>
      <c r="D104" s="4">
        <v>7020828</v>
      </c>
      <c r="E104" s="5" t="s">
        <v>98</v>
      </c>
      <c r="F104" s="6">
        <v>448357</v>
      </c>
      <c r="G104" s="7">
        <v>0</v>
      </c>
      <c r="H104" s="7">
        <v>5571339</v>
      </c>
      <c r="J104" s="8" t="s">
        <v>48</v>
      </c>
      <c r="K104" s="8" t="s">
        <v>495</v>
      </c>
    </row>
    <row r="105" spans="1:11" x14ac:dyDescent="0.3">
      <c r="A105" s="8">
        <v>104</v>
      </c>
      <c r="B105" s="4" t="s">
        <v>92</v>
      </c>
      <c r="C105" s="4">
        <v>4</v>
      </c>
      <c r="D105" s="4">
        <v>7020830</v>
      </c>
      <c r="E105" s="5" t="s">
        <v>99</v>
      </c>
      <c r="F105" s="6">
        <v>782599</v>
      </c>
      <c r="G105" s="7">
        <v>0</v>
      </c>
      <c r="H105" s="7">
        <v>4788740</v>
      </c>
      <c r="J105" s="8" t="s">
        <v>48</v>
      </c>
      <c r="K105" s="8" t="s">
        <v>495</v>
      </c>
    </row>
    <row r="106" spans="1:11" x14ac:dyDescent="0.3">
      <c r="A106" s="8">
        <v>95</v>
      </c>
      <c r="B106" s="4" t="s">
        <v>92</v>
      </c>
      <c r="C106" s="4">
        <v>4</v>
      </c>
      <c r="D106" s="4">
        <v>1077</v>
      </c>
      <c r="E106" s="5" t="s">
        <v>12</v>
      </c>
      <c r="F106" s="6">
        <v>0</v>
      </c>
      <c r="G106" s="7">
        <v>5000000</v>
      </c>
      <c r="H106" s="7">
        <v>9934140</v>
      </c>
      <c r="J106" s="8" t="s">
        <v>13</v>
      </c>
      <c r="K106" s="8">
        <v>0</v>
      </c>
    </row>
    <row r="107" spans="1:11" x14ac:dyDescent="0.3">
      <c r="A107" s="8">
        <v>106</v>
      </c>
      <c r="B107" s="4" t="s">
        <v>100</v>
      </c>
      <c r="C107" s="4">
        <v>4</v>
      </c>
      <c r="D107" s="4">
        <v>7078017</v>
      </c>
      <c r="E107" s="5" t="s">
        <v>101</v>
      </c>
      <c r="F107" s="6">
        <v>176596</v>
      </c>
      <c r="G107" s="7">
        <v>0</v>
      </c>
      <c r="H107" s="7">
        <v>8612144</v>
      </c>
      <c r="J107" s="8" t="s">
        <v>48</v>
      </c>
      <c r="K107" s="8" t="s">
        <v>495</v>
      </c>
    </row>
    <row r="108" spans="1:11" x14ac:dyDescent="0.3">
      <c r="A108" s="8">
        <v>107</v>
      </c>
      <c r="B108" s="4" t="s">
        <v>100</v>
      </c>
      <c r="C108" s="4">
        <v>4</v>
      </c>
      <c r="D108" s="4">
        <v>7051662</v>
      </c>
      <c r="E108" s="5" t="s">
        <v>102</v>
      </c>
      <c r="F108" s="6">
        <v>1106763</v>
      </c>
      <c r="G108" s="7">
        <v>0</v>
      </c>
      <c r="H108" s="7">
        <v>7505381</v>
      </c>
      <c r="J108" s="8" t="s">
        <v>48</v>
      </c>
      <c r="K108" s="8" t="s">
        <v>495</v>
      </c>
    </row>
    <row r="109" spans="1:11" x14ac:dyDescent="0.3">
      <c r="A109" s="8">
        <v>108</v>
      </c>
      <c r="B109" s="4" t="s">
        <v>100</v>
      </c>
      <c r="C109" s="4">
        <v>4</v>
      </c>
      <c r="D109" s="4">
        <v>7074950</v>
      </c>
      <c r="E109" s="5" t="s">
        <v>103</v>
      </c>
      <c r="F109" s="6">
        <v>150376</v>
      </c>
      <c r="G109" s="7">
        <v>0</v>
      </c>
      <c r="H109" s="7">
        <v>7355005</v>
      </c>
      <c r="J109" s="8" t="s">
        <v>48</v>
      </c>
      <c r="K109" s="8" t="s">
        <v>495</v>
      </c>
    </row>
    <row r="110" spans="1:11" x14ac:dyDescent="0.3">
      <c r="A110" s="8">
        <v>109</v>
      </c>
      <c r="B110" s="4" t="s">
        <v>100</v>
      </c>
      <c r="C110" s="4">
        <v>4</v>
      </c>
      <c r="D110" s="4">
        <v>7074949</v>
      </c>
      <c r="E110" s="5" t="s">
        <v>40</v>
      </c>
      <c r="F110" s="6">
        <v>181925</v>
      </c>
      <c r="G110" s="7">
        <v>0</v>
      </c>
      <c r="H110" s="7">
        <v>7173080</v>
      </c>
      <c r="J110" s="8" t="s">
        <v>48</v>
      </c>
      <c r="K110" s="8" t="s">
        <v>495</v>
      </c>
    </row>
    <row r="111" spans="1:11" x14ac:dyDescent="0.3">
      <c r="A111" s="8">
        <v>110</v>
      </c>
      <c r="B111" s="4" t="s">
        <v>100</v>
      </c>
      <c r="C111" s="4">
        <v>4</v>
      </c>
      <c r="D111" s="4">
        <v>7074948</v>
      </c>
      <c r="E111" s="5" t="s">
        <v>87</v>
      </c>
      <c r="F111" s="6">
        <v>2788360</v>
      </c>
      <c r="G111" s="7">
        <v>0</v>
      </c>
      <c r="H111" s="7">
        <v>4384720</v>
      </c>
      <c r="J111" s="8" t="s">
        <v>48</v>
      </c>
      <c r="K111" s="8" t="s">
        <v>495</v>
      </c>
    </row>
    <row r="112" spans="1:11" x14ac:dyDescent="0.3">
      <c r="A112" s="8">
        <v>111</v>
      </c>
      <c r="B112" s="4" t="s">
        <v>100</v>
      </c>
      <c r="C112" s="4">
        <v>4</v>
      </c>
      <c r="D112" s="4">
        <v>7076905</v>
      </c>
      <c r="E112" s="5" t="s">
        <v>104</v>
      </c>
      <c r="F112" s="6">
        <v>33487</v>
      </c>
      <c r="G112" s="7">
        <v>0</v>
      </c>
      <c r="H112" s="7">
        <v>4351233</v>
      </c>
      <c r="J112" s="8" t="s">
        <v>48</v>
      </c>
      <c r="K112" s="8" t="s">
        <v>495</v>
      </c>
    </row>
    <row r="113" spans="1:11" x14ac:dyDescent="0.3">
      <c r="A113" s="8">
        <v>112</v>
      </c>
      <c r="B113" s="4" t="s">
        <v>100</v>
      </c>
      <c r="C113" s="4">
        <v>4</v>
      </c>
      <c r="D113" s="4">
        <v>7057276</v>
      </c>
      <c r="E113" s="5" t="s">
        <v>105</v>
      </c>
      <c r="F113" s="6">
        <v>188500</v>
      </c>
      <c r="G113" s="7">
        <v>0</v>
      </c>
      <c r="H113" s="7">
        <v>4162733</v>
      </c>
      <c r="J113" s="8" t="s">
        <v>48</v>
      </c>
      <c r="K113" s="8" t="s">
        <v>495</v>
      </c>
    </row>
    <row r="114" spans="1:11" x14ac:dyDescent="0.3">
      <c r="A114" s="8">
        <v>113</v>
      </c>
      <c r="B114" s="4" t="s">
        <v>100</v>
      </c>
      <c r="C114" s="4">
        <v>4</v>
      </c>
      <c r="D114" s="4">
        <v>7053569</v>
      </c>
      <c r="E114" s="5" t="s">
        <v>17</v>
      </c>
      <c r="F114" s="6">
        <v>1246834</v>
      </c>
      <c r="G114" s="7">
        <v>0</v>
      </c>
      <c r="H114" s="7">
        <v>2915899</v>
      </c>
      <c r="J114" s="8" t="s">
        <v>48</v>
      </c>
      <c r="K114" s="8" t="e">
        <f>VLOOKUP(F114,'[2]Cartola 05-2026'!$J$2:$S$85,10,0)</f>
        <v>#N/A</v>
      </c>
    </row>
    <row r="115" spans="1:11" x14ac:dyDescent="0.3">
      <c r="A115" s="8">
        <v>114</v>
      </c>
      <c r="B115" s="4" t="s">
        <v>100</v>
      </c>
      <c r="C115" s="4">
        <v>4</v>
      </c>
      <c r="D115" s="4">
        <v>2981098</v>
      </c>
      <c r="E115" s="5" t="s">
        <v>106</v>
      </c>
      <c r="F115" s="6">
        <v>4556</v>
      </c>
      <c r="G115" s="7">
        <v>0</v>
      </c>
      <c r="H115" s="7">
        <v>2911343</v>
      </c>
      <c r="J115" s="8" t="s">
        <v>48</v>
      </c>
      <c r="K115" s="8" t="e">
        <f>VLOOKUP(F115,'[2]Cartola 05-2026'!$J$2:$S$85,10,0)</f>
        <v>#N/A</v>
      </c>
    </row>
    <row r="116" spans="1:11" x14ac:dyDescent="0.3">
      <c r="A116" s="8">
        <v>115</v>
      </c>
      <c r="B116" s="4" t="s">
        <v>100</v>
      </c>
      <c r="C116" s="4">
        <v>4</v>
      </c>
      <c r="D116" s="4">
        <v>4036217</v>
      </c>
      <c r="E116" s="5" t="s">
        <v>36</v>
      </c>
      <c r="F116" s="6">
        <v>36035</v>
      </c>
      <c r="G116" s="7">
        <v>0</v>
      </c>
      <c r="H116" s="7">
        <v>2875308</v>
      </c>
      <c r="J116" s="8" t="s">
        <v>37</v>
      </c>
      <c r="K116" s="8" t="e">
        <f>VLOOKUP(F116,'[2]Cartola 05-2026'!$J$2:$S$85,10,0)</f>
        <v>#N/A</v>
      </c>
    </row>
    <row r="117" spans="1:11" x14ac:dyDescent="0.3">
      <c r="A117" s="8">
        <v>116</v>
      </c>
      <c r="B117" s="4" t="s">
        <v>100</v>
      </c>
      <c r="C117" s="4">
        <v>4</v>
      </c>
      <c r="D117" s="4">
        <v>4517720</v>
      </c>
      <c r="E117" s="5" t="s">
        <v>50</v>
      </c>
      <c r="F117" s="6">
        <v>118</v>
      </c>
      <c r="G117" s="7">
        <v>0</v>
      </c>
      <c r="H117" s="7">
        <v>2875190</v>
      </c>
      <c r="J117" s="8" t="s">
        <v>48</v>
      </c>
      <c r="K117" s="8" t="e">
        <f>VLOOKUP(F117,'[2]Cartola 05-2026'!$J$2:$S$85,10,0)</f>
        <v>#N/A</v>
      </c>
    </row>
    <row r="118" spans="1:11" x14ac:dyDescent="0.3">
      <c r="A118" s="8">
        <v>117</v>
      </c>
      <c r="B118" s="4" t="s">
        <v>100</v>
      </c>
      <c r="C118" s="4">
        <v>4</v>
      </c>
      <c r="D118" s="4">
        <v>4517720</v>
      </c>
      <c r="E118" s="5" t="s">
        <v>50</v>
      </c>
      <c r="F118" s="6">
        <v>237</v>
      </c>
      <c r="G118" s="7">
        <v>0</v>
      </c>
      <c r="H118" s="7">
        <v>2874953</v>
      </c>
      <c r="J118" s="8" t="s">
        <v>48</v>
      </c>
      <c r="K118" s="8" t="e">
        <f>VLOOKUP(F118,'[2]Cartola 05-2026'!$J$2:$S$85,10,0)</f>
        <v>#N/A</v>
      </c>
    </row>
    <row r="119" spans="1:11" x14ac:dyDescent="0.3">
      <c r="A119" s="8">
        <v>118</v>
      </c>
      <c r="B119" s="4" t="s">
        <v>100</v>
      </c>
      <c r="C119" s="4">
        <v>4</v>
      </c>
      <c r="D119" s="4">
        <v>7026684</v>
      </c>
      <c r="E119" s="5" t="s">
        <v>107</v>
      </c>
      <c r="F119" s="6">
        <v>634698</v>
      </c>
      <c r="G119" s="7">
        <v>0</v>
      </c>
      <c r="H119" s="7">
        <v>2240255</v>
      </c>
      <c r="J119" s="8" t="s">
        <v>48</v>
      </c>
      <c r="K119" s="8" t="e">
        <f>VLOOKUP(F119,'[2]Cartola 05-2026'!$J$2:$S$85,10,0)</f>
        <v>#N/A</v>
      </c>
    </row>
    <row r="120" spans="1:11" x14ac:dyDescent="0.3">
      <c r="A120" s="8">
        <v>119</v>
      </c>
      <c r="B120" s="4" t="s">
        <v>100</v>
      </c>
      <c r="C120" s="4">
        <v>4</v>
      </c>
      <c r="D120" s="4">
        <v>7041867</v>
      </c>
      <c r="E120" s="5" t="s">
        <v>107</v>
      </c>
      <c r="F120" s="6">
        <v>634699</v>
      </c>
      <c r="G120" s="7">
        <v>0</v>
      </c>
      <c r="H120" s="7">
        <v>1605556</v>
      </c>
      <c r="J120" s="8" t="s">
        <v>48</v>
      </c>
      <c r="K120" s="8" t="e">
        <f>VLOOKUP(F120,'[2]Cartola 05-2026'!$J$2:$S$85,10,0)</f>
        <v>#N/A</v>
      </c>
    </row>
    <row r="121" spans="1:11" x14ac:dyDescent="0.3">
      <c r="A121" s="8">
        <v>120</v>
      </c>
      <c r="B121" s="4" t="s">
        <v>100</v>
      </c>
      <c r="C121" s="4">
        <v>5</v>
      </c>
      <c r="D121" s="4">
        <v>4224961</v>
      </c>
      <c r="E121" s="5" t="s">
        <v>108</v>
      </c>
      <c r="F121" s="6">
        <v>243520</v>
      </c>
      <c r="G121" s="7">
        <v>0</v>
      </c>
      <c r="H121" s="7">
        <v>1362036</v>
      </c>
      <c r="J121" s="8" t="s">
        <v>109</v>
      </c>
      <c r="K121" s="8" t="e">
        <f>VLOOKUP(F121,'[2]Cartola 05-2026'!$J$2:$S$85,10,0)</f>
        <v>#N/A</v>
      </c>
    </row>
    <row r="122" spans="1:11" x14ac:dyDescent="0.3">
      <c r="A122" s="8">
        <v>121</v>
      </c>
      <c r="B122" s="4" t="s">
        <v>110</v>
      </c>
      <c r="C122" s="4">
        <v>5</v>
      </c>
      <c r="D122" s="4"/>
      <c r="E122" s="5" t="s">
        <v>111</v>
      </c>
      <c r="F122" s="6">
        <v>25000</v>
      </c>
      <c r="G122" s="7">
        <v>0</v>
      </c>
      <c r="H122" s="7">
        <v>1337036</v>
      </c>
      <c r="J122" s="8" t="s">
        <v>54</v>
      </c>
      <c r="K122" s="8" t="e">
        <f>VLOOKUP(F122,'[2]Cartola 05-2026'!$J$2:$S$85,10,0)</f>
        <v>#N/A</v>
      </c>
    </row>
    <row r="123" spans="1:11" x14ac:dyDescent="0.3">
      <c r="A123" s="8">
        <v>122</v>
      </c>
      <c r="B123" s="4" t="s">
        <v>110</v>
      </c>
      <c r="C123" s="4">
        <v>5</v>
      </c>
      <c r="D123" s="4">
        <v>3895509</v>
      </c>
      <c r="E123" s="5" t="s">
        <v>112</v>
      </c>
      <c r="F123" s="6">
        <v>9000</v>
      </c>
      <c r="G123" s="7">
        <v>0</v>
      </c>
      <c r="H123" s="7">
        <v>1328036</v>
      </c>
      <c r="J123" s="8" t="s">
        <v>48</v>
      </c>
      <c r="K123" s="8" t="e">
        <f>VLOOKUP(F123,'[2]Cartola 05-2026'!$J$2:$S$85,10,0)</f>
        <v>#N/A</v>
      </c>
    </row>
    <row r="124" spans="1:11" x14ac:dyDescent="0.3">
      <c r="A124" s="8">
        <v>123</v>
      </c>
      <c r="B124" s="4" t="s">
        <v>110</v>
      </c>
      <c r="C124" s="4">
        <v>5</v>
      </c>
      <c r="D124" s="4">
        <v>3631604</v>
      </c>
      <c r="E124" s="5" t="s">
        <v>113</v>
      </c>
      <c r="F124" s="6">
        <v>700</v>
      </c>
      <c r="G124" s="7">
        <v>0</v>
      </c>
      <c r="H124" s="7">
        <v>1327336</v>
      </c>
      <c r="J124" s="8" t="s">
        <v>48</v>
      </c>
      <c r="K124" s="8" t="e">
        <f>VLOOKUP(F124,'[2]Cartola 05-2026'!$J$2:$S$85,10,0)</f>
        <v>#N/A</v>
      </c>
    </row>
    <row r="125" spans="1:11" x14ac:dyDescent="0.3">
      <c r="A125" s="8">
        <v>124</v>
      </c>
      <c r="B125" s="4" t="s">
        <v>110</v>
      </c>
      <c r="C125" s="4">
        <v>5</v>
      </c>
      <c r="D125" s="4">
        <v>7024070</v>
      </c>
      <c r="E125" s="5" t="s">
        <v>114</v>
      </c>
      <c r="F125" s="6">
        <v>238000</v>
      </c>
      <c r="G125" s="7">
        <v>0</v>
      </c>
      <c r="H125" s="7">
        <v>1089336</v>
      </c>
      <c r="J125" s="8" t="s">
        <v>48</v>
      </c>
      <c r="K125" s="8" t="s">
        <v>500</v>
      </c>
    </row>
    <row r="126" spans="1:11" x14ac:dyDescent="0.3">
      <c r="A126" s="8">
        <v>125</v>
      </c>
      <c r="B126" s="4" t="s">
        <v>110</v>
      </c>
      <c r="C126" s="4">
        <v>5</v>
      </c>
      <c r="D126" s="4">
        <v>7021024</v>
      </c>
      <c r="E126" s="5" t="s">
        <v>94</v>
      </c>
      <c r="F126" s="6">
        <v>642493</v>
      </c>
      <c r="G126" s="7">
        <v>0</v>
      </c>
      <c r="H126" s="7">
        <v>446843</v>
      </c>
      <c r="J126" s="8" t="s">
        <v>48</v>
      </c>
      <c r="K126" s="8" t="e">
        <f>VLOOKUP(F126,'[2]Cartola 05-2026'!$J$2:$S$85,10,0)</f>
        <v>#N/A</v>
      </c>
    </row>
    <row r="127" spans="1:11" x14ac:dyDescent="0.3">
      <c r="A127" s="8">
        <v>105</v>
      </c>
      <c r="B127" s="4" t="s">
        <v>100</v>
      </c>
      <c r="C127" s="4">
        <v>4</v>
      </c>
      <c r="D127" s="4">
        <v>1077</v>
      </c>
      <c r="E127" s="5" t="s">
        <v>12</v>
      </c>
      <c r="F127" s="6">
        <v>0</v>
      </c>
      <c r="G127" s="7">
        <v>4000000</v>
      </c>
      <c r="H127" s="7">
        <v>8788740</v>
      </c>
      <c r="J127" s="8" t="s">
        <v>13</v>
      </c>
      <c r="K127" s="8">
        <v>0</v>
      </c>
    </row>
    <row r="128" spans="1:11" x14ac:dyDescent="0.3">
      <c r="A128" s="8">
        <v>126</v>
      </c>
      <c r="B128" s="4" t="s">
        <v>110</v>
      </c>
      <c r="C128" s="4">
        <v>5</v>
      </c>
      <c r="D128" s="4">
        <v>7051363</v>
      </c>
      <c r="E128" s="5" t="s">
        <v>115</v>
      </c>
      <c r="F128" s="6">
        <v>15000</v>
      </c>
      <c r="G128" s="7">
        <v>0</v>
      </c>
      <c r="H128" s="7">
        <v>431843</v>
      </c>
      <c r="J128" s="8" t="s">
        <v>48</v>
      </c>
      <c r="K128" s="8">
        <v>0</v>
      </c>
    </row>
    <row r="129" spans="1:11" x14ac:dyDescent="0.3">
      <c r="A129" s="8">
        <v>127</v>
      </c>
      <c r="B129" s="4" t="s">
        <v>110</v>
      </c>
      <c r="C129" s="4">
        <v>5</v>
      </c>
      <c r="D129" s="4">
        <v>1077</v>
      </c>
      <c r="E129" s="5" t="s">
        <v>116</v>
      </c>
      <c r="F129" s="6">
        <v>0</v>
      </c>
      <c r="G129" s="7">
        <v>1000000</v>
      </c>
      <c r="H129" s="7">
        <v>1431843</v>
      </c>
      <c r="J129" s="8" t="s">
        <v>490</v>
      </c>
      <c r="K129" s="8">
        <v>0</v>
      </c>
    </row>
    <row r="130" spans="1:11" x14ac:dyDescent="0.3">
      <c r="A130" s="8">
        <v>128</v>
      </c>
      <c r="B130" s="4" t="s">
        <v>110</v>
      </c>
      <c r="C130" s="4">
        <v>5</v>
      </c>
      <c r="D130" s="4">
        <v>1800958</v>
      </c>
      <c r="E130" s="5" t="s">
        <v>117</v>
      </c>
      <c r="F130" s="6">
        <v>0</v>
      </c>
      <c r="G130" s="7">
        <v>527</v>
      </c>
      <c r="H130" s="7">
        <v>1432370</v>
      </c>
      <c r="J130" s="8" t="s">
        <v>118</v>
      </c>
      <c r="K130" s="8">
        <v>0</v>
      </c>
    </row>
    <row r="131" spans="1:11" x14ac:dyDescent="0.3">
      <c r="A131" s="8">
        <v>129</v>
      </c>
      <c r="B131" s="4" t="s">
        <v>110</v>
      </c>
      <c r="C131" s="4">
        <v>5</v>
      </c>
      <c r="D131" s="4">
        <v>4229409</v>
      </c>
      <c r="E131" s="5" t="s">
        <v>119</v>
      </c>
      <c r="F131" s="6">
        <v>30000</v>
      </c>
      <c r="G131" s="7">
        <v>0</v>
      </c>
      <c r="H131" s="7">
        <v>1402370</v>
      </c>
      <c r="J131" s="8" t="s">
        <v>120</v>
      </c>
      <c r="K131" s="8">
        <v>0</v>
      </c>
    </row>
    <row r="132" spans="1:11" x14ac:dyDescent="0.3">
      <c r="A132" s="8">
        <v>131</v>
      </c>
      <c r="B132" s="4" t="s">
        <v>121</v>
      </c>
      <c r="C132" s="4">
        <v>5</v>
      </c>
      <c r="D132" s="4">
        <v>4036217</v>
      </c>
      <c r="E132" s="5" t="s">
        <v>36</v>
      </c>
      <c r="F132" s="6">
        <v>40956</v>
      </c>
      <c r="G132" s="7">
        <v>0</v>
      </c>
      <c r="H132" s="7">
        <v>8361414</v>
      </c>
      <c r="J132" s="8" t="s">
        <v>37</v>
      </c>
      <c r="K132" s="8" t="e">
        <f>VLOOKUP(F132,'[2]Cartola 05-2026'!$J$2:$S$85,10,0)</f>
        <v>#N/A</v>
      </c>
    </row>
    <row r="133" spans="1:11" x14ac:dyDescent="0.3">
      <c r="A133" s="8">
        <v>130</v>
      </c>
      <c r="B133" s="4" t="s">
        <v>121</v>
      </c>
      <c r="C133" s="4">
        <v>5</v>
      </c>
      <c r="D133" s="4">
        <v>1077</v>
      </c>
      <c r="E133" s="5" t="s">
        <v>12</v>
      </c>
      <c r="F133" s="6">
        <v>0</v>
      </c>
      <c r="G133" s="7">
        <v>7000000</v>
      </c>
      <c r="H133" s="7">
        <v>8402370</v>
      </c>
      <c r="J133" s="8" t="s">
        <v>13</v>
      </c>
      <c r="K133" s="8">
        <v>0</v>
      </c>
    </row>
    <row r="134" spans="1:11" x14ac:dyDescent="0.3">
      <c r="A134" s="8">
        <v>133</v>
      </c>
      <c r="B134" s="4" t="s">
        <v>121</v>
      </c>
      <c r="C134" s="4">
        <v>5</v>
      </c>
      <c r="D134" s="4">
        <v>7093917</v>
      </c>
      <c r="E134" s="5" t="s">
        <v>25</v>
      </c>
      <c r="F134" s="6">
        <v>950000</v>
      </c>
      <c r="G134" s="7">
        <v>0</v>
      </c>
      <c r="H134" s="7">
        <v>7395914</v>
      </c>
      <c r="J134" s="8" t="s">
        <v>48</v>
      </c>
      <c r="K134" s="8" t="e">
        <f>VLOOKUP(F134,'[2]Cartola 05-2026'!$J$2:$S$85,10,0)</f>
        <v>#N/A</v>
      </c>
    </row>
    <row r="135" spans="1:11" x14ac:dyDescent="0.3">
      <c r="A135" s="8">
        <v>132</v>
      </c>
      <c r="B135" s="4" t="s">
        <v>121</v>
      </c>
      <c r="C135" s="4">
        <v>5</v>
      </c>
      <c r="D135" s="4">
        <v>4830365</v>
      </c>
      <c r="E135" s="5" t="s">
        <v>122</v>
      </c>
      <c r="F135" s="6">
        <v>15500</v>
      </c>
      <c r="G135" s="7">
        <v>0</v>
      </c>
      <c r="H135" s="7">
        <v>8345914</v>
      </c>
      <c r="J135" s="8" t="s">
        <v>48</v>
      </c>
      <c r="K135" s="8">
        <v>0</v>
      </c>
    </row>
    <row r="136" spans="1:11" x14ac:dyDescent="0.3">
      <c r="A136" s="8">
        <v>135</v>
      </c>
      <c r="B136" s="4" t="s">
        <v>121</v>
      </c>
      <c r="C136" s="4">
        <v>5</v>
      </c>
      <c r="D136" s="4">
        <v>4434418</v>
      </c>
      <c r="E136" s="5" t="s">
        <v>50</v>
      </c>
      <c r="F136" s="6">
        <v>83300</v>
      </c>
      <c r="G136" s="7">
        <v>0</v>
      </c>
      <c r="H136" s="7">
        <v>2312614</v>
      </c>
      <c r="J136" s="8" t="s">
        <v>48</v>
      </c>
      <c r="K136" s="8" t="e">
        <f>VLOOKUP(F136,'[2]Cartola 05-2026'!$J$2:$S$85,10,0)</f>
        <v>#N/A</v>
      </c>
    </row>
    <row r="137" spans="1:11" x14ac:dyDescent="0.3">
      <c r="A137" s="8">
        <v>134</v>
      </c>
      <c r="B137" s="4" t="s">
        <v>121</v>
      </c>
      <c r="C137" s="4">
        <v>5</v>
      </c>
      <c r="D137" s="4">
        <v>7093918</v>
      </c>
      <c r="E137" s="5" t="s">
        <v>25</v>
      </c>
      <c r="F137" s="6">
        <v>5000000</v>
      </c>
      <c r="G137" s="7">
        <v>0</v>
      </c>
      <c r="H137" s="7">
        <v>2395914</v>
      </c>
      <c r="J137" s="8" t="s">
        <v>48</v>
      </c>
      <c r="K137" s="8">
        <v>0</v>
      </c>
    </row>
    <row r="138" spans="1:11" x14ac:dyDescent="0.3">
      <c r="A138" s="8">
        <v>137</v>
      </c>
      <c r="B138" s="4" t="s">
        <v>123</v>
      </c>
      <c r="C138" s="4">
        <v>5</v>
      </c>
      <c r="D138" s="4">
        <v>4036217</v>
      </c>
      <c r="E138" s="5" t="s">
        <v>36</v>
      </c>
      <c r="F138" s="6">
        <v>36329</v>
      </c>
      <c r="G138" s="7">
        <v>0</v>
      </c>
      <c r="H138" s="7">
        <v>2545682</v>
      </c>
      <c r="J138" s="8" t="s">
        <v>48</v>
      </c>
      <c r="K138" s="8" t="e">
        <f>VLOOKUP(F138,'[2]Cartola 05-2026'!$J$2:$S$85,10,0)</f>
        <v>#N/A</v>
      </c>
    </row>
    <row r="139" spans="1:11" x14ac:dyDescent="0.3">
      <c r="A139" s="8">
        <v>136</v>
      </c>
      <c r="B139" s="4" t="s">
        <v>123</v>
      </c>
      <c r="C139" s="4">
        <v>5</v>
      </c>
      <c r="D139" s="4">
        <v>1077</v>
      </c>
      <c r="E139" s="5" t="s">
        <v>116</v>
      </c>
      <c r="F139" s="6">
        <v>0</v>
      </c>
      <c r="G139" s="7">
        <v>269397</v>
      </c>
      <c r="H139" s="7">
        <v>2582011</v>
      </c>
      <c r="J139" s="8" t="s">
        <v>490</v>
      </c>
      <c r="K139" s="8">
        <v>0</v>
      </c>
    </row>
    <row r="140" spans="1:11" x14ac:dyDescent="0.3">
      <c r="A140" s="8">
        <v>138</v>
      </c>
      <c r="B140" s="4" t="s">
        <v>124</v>
      </c>
      <c r="C140" s="4">
        <v>5</v>
      </c>
      <c r="D140" s="4">
        <v>1077</v>
      </c>
      <c r="E140" s="5" t="s">
        <v>12</v>
      </c>
      <c r="F140" s="6">
        <v>0</v>
      </c>
      <c r="G140" s="7">
        <v>7000000</v>
      </c>
      <c r="H140" s="7">
        <v>9545682</v>
      </c>
      <c r="J140" s="8" t="s">
        <v>13</v>
      </c>
      <c r="K140" s="8">
        <v>0</v>
      </c>
    </row>
    <row r="141" spans="1:11" x14ac:dyDescent="0.3">
      <c r="A141" s="8">
        <v>140</v>
      </c>
      <c r="B141" s="4" t="s">
        <v>124</v>
      </c>
      <c r="C141" s="4">
        <v>5</v>
      </c>
      <c r="D141" s="4">
        <v>1086273</v>
      </c>
      <c r="E141" s="5" t="s">
        <v>126</v>
      </c>
      <c r="F141" s="6">
        <v>16390</v>
      </c>
      <c r="G141" s="7">
        <v>0</v>
      </c>
      <c r="H141" s="7">
        <v>9646192</v>
      </c>
      <c r="J141" s="8" t="s">
        <v>48</v>
      </c>
      <c r="K141" s="8" t="e">
        <f>VLOOKUP(F141,'[2]Cartola 05-2026'!$J$2:$S$85,10,0)</f>
        <v>#N/A</v>
      </c>
    </row>
    <row r="142" spans="1:11" x14ac:dyDescent="0.3">
      <c r="A142" s="8">
        <v>141</v>
      </c>
      <c r="B142" s="4" t="s">
        <v>124</v>
      </c>
      <c r="C142" s="4">
        <v>5</v>
      </c>
      <c r="D142" s="4">
        <v>4581264</v>
      </c>
      <c r="E142" s="5" t="s">
        <v>127</v>
      </c>
      <c r="F142" s="6">
        <v>18000</v>
      </c>
      <c r="G142" s="7">
        <v>0</v>
      </c>
      <c r="H142" s="7">
        <v>9628192</v>
      </c>
      <c r="J142" s="8" t="s">
        <v>48</v>
      </c>
      <c r="K142" s="8" t="e">
        <f>VLOOKUP(F142,'[2]Cartola 05-2026'!$J$2:$S$85,10,0)</f>
        <v>#N/A</v>
      </c>
    </row>
    <row r="143" spans="1:11" x14ac:dyDescent="0.3">
      <c r="A143" s="8">
        <v>142</v>
      </c>
      <c r="B143" s="4" t="s">
        <v>124</v>
      </c>
      <c r="C143" s="4">
        <v>5</v>
      </c>
      <c r="D143" s="4">
        <v>7056666</v>
      </c>
      <c r="E143" s="5" t="s">
        <v>128</v>
      </c>
      <c r="F143" s="6">
        <v>2915500</v>
      </c>
      <c r="G143" s="7">
        <v>0</v>
      </c>
      <c r="H143" s="7">
        <v>6712692</v>
      </c>
      <c r="J143" s="8" t="s">
        <v>48</v>
      </c>
      <c r="K143" s="8" t="s">
        <v>496</v>
      </c>
    </row>
    <row r="144" spans="1:11" x14ac:dyDescent="0.3">
      <c r="A144" s="8">
        <v>143</v>
      </c>
      <c r="B144" s="4" t="s">
        <v>124</v>
      </c>
      <c r="C144" s="4">
        <v>5</v>
      </c>
      <c r="D144" s="4">
        <v>7061264</v>
      </c>
      <c r="E144" s="5" t="s">
        <v>129</v>
      </c>
      <c r="F144" s="6">
        <v>500000</v>
      </c>
      <c r="G144" s="7">
        <v>0</v>
      </c>
      <c r="H144" s="7">
        <v>6212692</v>
      </c>
      <c r="J144" s="8" t="s">
        <v>48</v>
      </c>
      <c r="K144" s="8" t="s">
        <v>496</v>
      </c>
    </row>
    <row r="145" spans="1:11" x14ac:dyDescent="0.3">
      <c r="A145" s="8">
        <v>144</v>
      </c>
      <c r="B145" s="4" t="s">
        <v>124</v>
      </c>
      <c r="C145" s="4">
        <v>5</v>
      </c>
      <c r="D145" s="4">
        <v>7059457</v>
      </c>
      <c r="E145" s="5" t="s">
        <v>130</v>
      </c>
      <c r="F145" s="6">
        <v>790955</v>
      </c>
      <c r="G145" s="7">
        <v>0</v>
      </c>
      <c r="H145" s="7">
        <v>5421737</v>
      </c>
      <c r="J145" s="8" t="s">
        <v>48</v>
      </c>
      <c r="K145" s="8" t="e">
        <f>VLOOKUP(F145,'[2]Cartola 05-2026'!$J$2:$S$85,10,0)</f>
        <v>#N/A</v>
      </c>
    </row>
    <row r="146" spans="1:11" x14ac:dyDescent="0.3">
      <c r="A146" s="8">
        <v>145</v>
      </c>
      <c r="B146" s="4" t="s">
        <v>124</v>
      </c>
      <c r="C146" s="4">
        <v>5</v>
      </c>
      <c r="D146" s="4">
        <v>7062555</v>
      </c>
      <c r="E146" s="5" t="s">
        <v>131</v>
      </c>
      <c r="F146" s="6">
        <v>500000</v>
      </c>
      <c r="G146" s="7">
        <v>0</v>
      </c>
      <c r="H146" s="7">
        <v>4921737</v>
      </c>
      <c r="J146" s="8" t="s">
        <v>48</v>
      </c>
      <c r="K146" s="8" t="s">
        <v>496</v>
      </c>
    </row>
    <row r="147" spans="1:11" x14ac:dyDescent="0.3">
      <c r="A147" s="8">
        <v>139</v>
      </c>
      <c r="B147" s="4" t="s">
        <v>124</v>
      </c>
      <c r="C147" s="4">
        <v>5</v>
      </c>
      <c r="D147" s="4">
        <v>7024460</v>
      </c>
      <c r="E147" s="5" t="s">
        <v>125</v>
      </c>
      <c r="F147" s="6">
        <v>0</v>
      </c>
      <c r="G147" s="7">
        <v>116900</v>
      </c>
      <c r="H147" s="7">
        <v>9662582</v>
      </c>
      <c r="J147" s="8" t="s">
        <v>490</v>
      </c>
      <c r="K147" s="8">
        <v>0</v>
      </c>
    </row>
    <row r="148" spans="1:11" x14ac:dyDescent="0.3">
      <c r="A148" s="8">
        <v>147</v>
      </c>
      <c r="B148" s="4" t="s">
        <v>124</v>
      </c>
      <c r="C148" s="4">
        <v>5</v>
      </c>
      <c r="D148" s="4">
        <v>4036217</v>
      </c>
      <c r="E148" s="5" t="s">
        <v>36</v>
      </c>
      <c r="F148" s="6">
        <v>29421</v>
      </c>
      <c r="G148" s="7">
        <v>0</v>
      </c>
      <c r="H148" s="7">
        <v>11892316</v>
      </c>
      <c r="J148" s="8" t="s">
        <v>48</v>
      </c>
      <c r="K148" s="8" t="e">
        <f>VLOOKUP(F148,'[2]Cartola 05-2026'!$J$2:$S$85,10,0)</f>
        <v>#N/A</v>
      </c>
    </row>
    <row r="149" spans="1:11" x14ac:dyDescent="0.3">
      <c r="A149" s="8">
        <v>148</v>
      </c>
      <c r="B149" s="4" t="s">
        <v>124</v>
      </c>
      <c r="C149" s="4">
        <v>5</v>
      </c>
      <c r="D149" s="4">
        <v>4036217</v>
      </c>
      <c r="E149" s="5" t="s">
        <v>36</v>
      </c>
      <c r="F149" s="6">
        <v>21997</v>
      </c>
      <c r="G149" s="7">
        <v>0</v>
      </c>
      <c r="H149" s="7">
        <v>11870319</v>
      </c>
      <c r="J149" s="8" t="s">
        <v>48</v>
      </c>
      <c r="K149" s="8" t="e">
        <f>VLOOKUP(F149,'[2]Cartola 05-2026'!$J$2:$S$85,10,0)</f>
        <v>#N/A</v>
      </c>
    </row>
    <row r="150" spans="1:11" x14ac:dyDescent="0.3">
      <c r="A150" s="8">
        <v>149</v>
      </c>
      <c r="B150" s="4" t="s">
        <v>124</v>
      </c>
      <c r="C150" s="4">
        <v>5</v>
      </c>
      <c r="D150" s="4">
        <v>7077607</v>
      </c>
      <c r="E150" s="5" t="s">
        <v>129</v>
      </c>
      <c r="F150" s="6">
        <v>4078525</v>
      </c>
      <c r="G150" s="7">
        <v>0</v>
      </c>
      <c r="H150" s="7">
        <v>7791794</v>
      </c>
      <c r="J150" s="8" t="s">
        <v>48</v>
      </c>
      <c r="K150" s="8" t="s">
        <v>496</v>
      </c>
    </row>
    <row r="151" spans="1:11" x14ac:dyDescent="0.3">
      <c r="A151" s="8">
        <v>150</v>
      </c>
      <c r="B151" s="4" t="s">
        <v>124</v>
      </c>
      <c r="C151" s="4">
        <v>5</v>
      </c>
      <c r="D151" s="4">
        <v>7077608</v>
      </c>
      <c r="E151" s="5" t="s">
        <v>131</v>
      </c>
      <c r="F151" s="6">
        <v>542928</v>
      </c>
      <c r="G151" s="7">
        <v>0</v>
      </c>
      <c r="H151" s="7">
        <v>7248866</v>
      </c>
      <c r="J151" s="8" t="s">
        <v>48</v>
      </c>
      <c r="K151" s="8" t="s">
        <v>496</v>
      </c>
    </row>
    <row r="152" spans="1:11" x14ac:dyDescent="0.3">
      <c r="A152" s="8">
        <v>151</v>
      </c>
      <c r="B152" s="4" t="s">
        <v>132</v>
      </c>
      <c r="C152" s="4">
        <v>5</v>
      </c>
      <c r="D152" s="4">
        <v>3420001</v>
      </c>
      <c r="E152" s="5" t="s">
        <v>133</v>
      </c>
      <c r="F152" s="6">
        <v>5653</v>
      </c>
      <c r="G152" s="7">
        <v>0</v>
      </c>
      <c r="H152" s="7">
        <v>7243213</v>
      </c>
      <c r="J152" s="8" t="s">
        <v>48</v>
      </c>
      <c r="K152" s="8" t="e">
        <f>VLOOKUP(F152,'[2]Cartola 05-2026'!$J$2:$S$85,10,0)</f>
        <v>#N/A</v>
      </c>
    </row>
    <row r="153" spans="1:11" x14ac:dyDescent="0.3">
      <c r="A153" s="8">
        <v>152</v>
      </c>
      <c r="B153" s="4" t="s">
        <v>132</v>
      </c>
      <c r="C153" s="4">
        <v>5</v>
      </c>
      <c r="D153" s="4">
        <v>7002691</v>
      </c>
      <c r="E153" s="5" t="s">
        <v>128</v>
      </c>
      <c r="F153" s="6">
        <v>2915500</v>
      </c>
      <c r="G153" s="7">
        <v>0</v>
      </c>
      <c r="H153" s="7">
        <v>4327713</v>
      </c>
      <c r="J153" s="8" t="s">
        <v>48</v>
      </c>
      <c r="K153" s="8" t="s">
        <v>496</v>
      </c>
    </row>
    <row r="154" spans="1:11" x14ac:dyDescent="0.3">
      <c r="A154" s="8">
        <v>153</v>
      </c>
      <c r="B154" s="4" t="s">
        <v>132</v>
      </c>
      <c r="C154" s="4">
        <v>5</v>
      </c>
      <c r="D154" s="4">
        <v>7078510</v>
      </c>
      <c r="E154" s="5" t="s">
        <v>134</v>
      </c>
      <c r="F154" s="6">
        <v>284832</v>
      </c>
      <c r="G154" s="7">
        <v>0</v>
      </c>
      <c r="H154" s="7">
        <v>4042881</v>
      </c>
      <c r="J154" s="8" t="s">
        <v>48</v>
      </c>
      <c r="K154" s="8" t="s">
        <v>495</v>
      </c>
    </row>
    <row r="155" spans="1:11" x14ac:dyDescent="0.3">
      <c r="A155" s="8">
        <v>146</v>
      </c>
      <c r="B155" s="4" t="s">
        <v>124</v>
      </c>
      <c r="C155" s="4">
        <v>5</v>
      </c>
      <c r="D155" s="4">
        <v>1077</v>
      </c>
      <c r="E155" s="5" t="s">
        <v>12</v>
      </c>
      <c r="F155" s="6">
        <v>0</v>
      </c>
      <c r="G155" s="7">
        <v>7000000</v>
      </c>
      <c r="H155" s="7">
        <v>11921737</v>
      </c>
      <c r="J155" s="8" t="s">
        <v>13</v>
      </c>
      <c r="K155" s="8">
        <v>0</v>
      </c>
    </row>
    <row r="156" spans="1:11" x14ac:dyDescent="0.3">
      <c r="A156" s="8">
        <v>155</v>
      </c>
      <c r="B156" s="4" t="s">
        <v>132</v>
      </c>
      <c r="C156" s="4">
        <v>5</v>
      </c>
      <c r="D156" s="4">
        <v>3862549</v>
      </c>
      <c r="E156" s="5" t="s">
        <v>14</v>
      </c>
      <c r="F156" s="6">
        <v>30590</v>
      </c>
      <c r="G156" s="7">
        <v>0</v>
      </c>
      <c r="H156" s="7">
        <v>3972291</v>
      </c>
      <c r="J156" s="8" t="s">
        <v>48</v>
      </c>
      <c r="K156" s="8" t="e">
        <f>VLOOKUP(F156,'[2]Cartola 05-2026'!$J$2:$S$85,10,0)</f>
        <v>#N/A</v>
      </c>
    </row>
    <row r="157" spans="1:11" x14ac:dyDescent="0.3">
      <c r="A157" s="8">
        <v>156</v>
      </c>
      <c r="B157" s="4" t="s">
        <v>132</v>
      </c>
      <c r="C157" s="4">
        <v>6</v>
      </c>
      <c r="D157" s="4">
        <v>4036217</v>
      </c>
      <c r="E157" s="5" t="s">
        <v>36</v>
      </c>
      <c r="F157" s="6">
        <v>25011</v>
      </c>
      <c r="G157" s="7">
        <v>0</v>
      </c>
      <c r="H157" s="7">
        <v>3947280</v>
      </c>
      <c r="J157" s="8" t="s">
        <v>48</v>
      </c>
      <c r="K157" s="8" t="e">
        <f>VLOOKUP(F157,'[2]Cartola 05-2026'!$J$2:$S$85,10,0)</f>
        <v>#N/A</v>
      </c>
    </row>
    <row r="158" spans="1:11" x14ac:dyDescent="0.3">
      <c r="A158" s="8">
        <v>157</v>
      </c>
      <c r="B158" s="4" t="s">
        <v>132</v>
      </c>
      <c r="C158" s="4">
        <v>6</v>
      </c>
      <c r="D158" s="4">
        <v>4520744</v>
      </c>
      <c r="E158" s="5" t="s">
        <v>136</v>
      </c>
      <c r="F158" s="6">
        <v>78690</v>
      </c>
      <c r="G158" s="7">
        <v>0</v>
      </c>
      <c r="H158" s="7">
        <v>3868590</v>
      </c>
      <c r="J158" s="8" t="s">
        <v>48</v>
      </c>
      <c r="K158" s="8" t="e">
        <f>VLOOKUP(F158,'[2]Cartola 05-2026'!$J$2:$S$85,10,0)</f>
        <v>#N/A</v>
      </c>
    </row>
    <row r="159" spans="1:11" x14ac:dyDescent="0.3">
      <c r="A159" s="8">
        <v>158</v>
      </c>
      <c r="B159" s="4" t="s">
        <v>132</v>
      </c>
      <c r="C159" s="4">
        <v>6</v>
      </c>
      <c r="D159" s="4">
        <v>4707423</v>
      </c>
      <c r="E159" s="5" t="s">
        <v>137</v>
      </c>
      <c r="F159" s="6">
        <v>4800</v>
      </c>
      <c r="G159" s="7">
        <v>0</v>
      </c>
      <c r="H159" s="7">
        <v>3863790</v>
      </c>
      <c r="J159" s="8" t="s">
        <v>48</v>
      </c>
      <c r="K159" s="8" t="e">
        <f>VLOOKUP(F159,'[2]Cartola 05-2026'!$J$2:$S$85,10,0)</f>
        <v>#N/A</v>
      </c>
    </row>
    <row r="160" spans="1:11" x14ac:dyDescent="0.3">
      <c r="A160" s="8">
        <v>154</v>
      </c>
      <c r="B160" s="4" t="s">
        <v>132</v>
      </c>
      <c r="C160" s="4">
        <v>5</v>
      </c>
      <c r="D160" s="4"/>
      <c r="E160" s="5" t="s">
        <v>135</v>
      </c>
      <c r="F160" s="6">
        <v>40000</v>
      </c>
      <c r="G160" s="7">
        <v>0</v>
      </c>
      <c r="H160" s="7">
        <v>4002881</v>
      </c>
      <c r="J160" s="8" t="s">
        <v>54</v>
      </c>
      <c r="K160" s="8">
        <v>0</v>
      </c>
    </row>
    <row r="161" spans="1:11" x14ac:dyDescent="0.3">
      <c r="A161" s="8">
        <v>160</v>
      </c>
      <c r="B161" s="4" t="s">
        <v>138</v>
      </c>
      <c r="C161" s="4">
        <v>6</v>
      </c>
      <c r="D161" s="4">
        <v>4393121</v>
      </c>
      <c r="E161" s="5" t="s">
        <v>50</v>
      </c>
      <c r="F161" s="6">
        <v>11800</v>
      </c>
      <c r="G161" s="7">
        <v>0</v>
      </c>
      <c r="H161" s="7">
        <v>3948200</v>
      </c>
      <c r="J161" s="8" t="s">
        <v>48</v>
      </c>
      <c r="K161" s="8" t="e">
        <f>VLOOKUP(F161,'[2]Cartola 05-2026'!$J$2:$S$85,10,0)</f>
        <v>#N/A</v>
      </c>
    </row>
    <row r="162" spans="1:11" x14ac:dyDescent="0.3">
      <c r="A162" s="8">
        <v>161</v>
      </c>
      <c r="B162" s="4" t="s">
        <v>138</v>
      </c>
      <c r="C162" s="4">
        <v>6</v>
      </c>
      <c r="D162" s="4">
        <v>4707250</v>
      </c>
      <c r="E162" s="5" t="s">
        <v>137</v>
      </c>
      <c r="F162" s="6">
        <v>7200</v>
      </c>
      <c r="G162" s="7">
        <v>0</v>
      </c>
      <c r="H162" s="7">
        <v>3941000</v>
      </c>
      <c r="J162" s="8" t="s">
        <v>48</v>
      </c>
      <c r="K162" s="8" t="e">
        <f>VLOOKUP(F162,'[2]Cartola 05-2026'!$J$2:$S$85,10,0)</f>
        <v>#N/A</v>
      </c>
    </row>
    <row r="163" spans="1:11" x14ac:dyDescent="0.3">
      <c r="A163" s="8">
        <v>162</v>
      </c>
      <c r="B163" s="4" t="s">
        <v>138</v>
      </c>
      <c r="C163" s="4">
        <v>6</v>
      </c>
      <c r="D163" s="4">
        <v>4707250</v>
      </c>
      <c r="E163" s="5" t="s">
        <v>137</v>
      </c>
      <c r="F163" s="6">
        <v>7200</v>
      </c>
      <c r="G163" s="7">
        <v>0</v>
      </c>
      <c r="H163" s="7">
        <v>3933800</v>
      </c>
      <c r="J163" s="8" t="s">
        <v>48</v>
      </c>
      <c r="K163" s="8" t="e">
        <f>VLOOKUP(F163,'[2]Cartola 05-2026'!$J$2:$S$85,10,0)</f>
        <v>#N/A</v>
      </c>
    </row>
    <row r="164" spans="1:11" x14ac:dyDescent="0.3">
      <c r="A164" s="8">
        <v>163</v>
      </c>
      <c r="B164" s="4" t="s">
        <v>138</v>
      </c>
      <c r="C164" s="4">
        <v>6</v>
      </c>
      <c r="D164" s="4">
        <v>4845131</v>
      </c>
      <c r="E164" s="5" t="s">
        <v>140</v>
      </c>
      <c r="F164" s="6">
        <v>38515</v>
      </c>
      <c r="G164" s="7">
        <v>0</v>
      </c>
      <c r="H164" s="7">
        <v>3895285</v>
      </c>
      <c r="J164" s="8" t="s">
        <v>48</v>
      </c>
      <c r="K164" s="8" t="e">
        <f>VLOOKUP(F164,'[2]Cartola 05-2026'!$J$2:$S$85,10,0)</f>
        <v>#N/A</v>
      </c>
    </row>
    <row r="165" spans="1:11" x14ac:dyDescent="0.3">
      <c r="A165" s="8">
        <v>164</v>
      </c>
      <c r="B165" s="4" t="s">
        <v>138</v>
      </c>
      <c r="C165" s="4">
        <v>6</v>
      </c>
      <c r="D165" s="4"/>
      <c r="E165" s="5" t="s">
        <v>141</v>
      </c>
      <c r="F165" s="6">
        <v>80000</v>
      </c>
      <c r="G165" s="7">
        <v>0</v>
      </c>
      <c r="H165" s="7">
        <v>3815285</v>
      </c>
      <c r="J165" s="8" t="s">
        <v>54</v>
      </c>
      <c r="K165" s="8" t="e">
        <f>VLOOKUP(F165,'[2]Cartola 05-2026'!$J$2:$S$85,10,0)</f>
        <v>#N/A</v>
      </c>
    </row>
    <row r="166" spans="1:11" x14ac:dyDescent="0.3">
      <c r="A166" s="8">
        <v>165</v>
      </c>
      <c r="B166" s="4" t="s">
        <v>138</v>
      </c>
      <c r="C166" s="4">
        <v>6</v>
      </c>
      <c r="D166" s="4">
        <v>1458</v>
      </c>
      <c r="E166" s="5" t="s">
        <v>26</v>
      </c>
      <c r="F166" s="6">
        <v>13229</v>
      </c>
      <c r="G166" s="7">
        <v>0</v>
      </c>
      <c r="H166" s="7">
        <v>3802056</v>
      </c>
      <c r="J166" s="8" t="s">
        <v>48</v>
      </c>
      <c r="K166" s="8" t="e">
        <f>VLOOKUP(F166,'[2]Cartola 05-2026'!$J$2:$S$85,10,0)</f>
        <v>#N/A</v>
      </c>
    </row>
    <row r="167" spans="1:11" x14ac:dyDescent="0.3">
      <c r="A167" s="8">
        <v>159</v>
      </c>
      <c r="B167" s="4" t="s">
        <v>138</v>
      </c>
      <c r="C167" s="4">
        <v>6</v>
      </c>
      <c r="D167" s="4">
        <v>1077</v>
      </c>
      <c r="E167" s="5" t="s">
        <v>139</v>
      </c>
      <c r="F167" s="6">
        <v>0</v>
      </c>
      <c r="G167" s="7">
        <v>96210</v>
      </c>
      <c r="H167" s="7">
        <v>3960000</v>
      </c>
      <c r="J167" s="8" t="s">
        <v>490</v>
      </c>
      <c r="K167" s="8">
        <v>0</v>
      </c>
    </row>
    <row r="168" spans="1:11" x14ac:dyDescent="0.3">
      <c r="A168" s="8">
        <v>167</v>
      </c>
      <c r="B168" s="4" t="s">
        <v>142</v>
      </c>
      <c r="C168" s="4">
        <v>6</v>
      </c>
      <c r="D168" s="4">
        <v>1196082</v>
      </c>
      <c r="E168" s="5" t="s">
        <v>144</v>
      </c>
      <c r="F168" s="6">
        <v>50500</v>
      </c>
      <c r="G168" s="7">
        <v>0</v>
      </c>
      <c r="H168" s="7">
        <v>3731556</v>
      </c>
      <c r="J168" s="8" t="s">
        <v>48</v>
      </c>
      <c r="K168" s="8" t="e">
        <f>VLOOKUP(F168,'[2]Cartola 05-2026'!$J$2:$S$85,10,0)</f>
        <v>#N/A</v>
      </c>
    </row>
    <row r="169" spans="1:11" x14ac:dyDescent="0.3">
      <c r="A169" s="8">
        <v>168</v>
      </c>
      <c r="B169" s="4" t="s">
        <v>142</v>
      </c>
      <c r="C169" s="4">
        <v>6</v>
      </c>
      <c r="D169" s="4">
        <v>2404974</v>
      </c>
      <c r="E169" s="5" t="s">
        <v>145</v>
      </c>
      <c r="F169" s="6">
        <v>4299</v>
      </c>
      <c r="G169" s="7">
        <v>0</v>
      </c>
      <c r="H169" s="7">
        <v>3727257</v>
      </c>
      <c r="J169" s="8" t="s">
        <v>48</v>
      </c>
      <c r="K169" s="8" t="e">
        <f>VLOOKUP(F169,'[2]Cartola 05-2026'!$J$2:$S$85,10,0)</f>
        <v>#N/A</v>
      </c>
    </row>
    <row r="170" spans="1:11" x14ac:dyDescent="0.3">
      <c r="A170" s="8">
        <v>169</v>
      </c>
      <c r="B170" s="4" t="s">
        <v>142</v>
      </c>
      <c r="C170" s="4">
        <v>6</v>
      </c>
      <c r="D170" s="4">
        <v>7008759</v>
      </c>
      <c r="E170" s="5" t="s">
        <v>69</v>
      </c>
      <c r="F170" s="6">
        <v>833000</v>
      </c>
      <c r="G170" s="7">
        <v>0</v>
      </c>
      <c r="H170" s="7">
        <v>2894257</v>
      </c>
      <c r="J170" s="8" t="s">
        <v>48</v>
      </c>
      <c r="K170" s="8" t="e">
        <f>VLOOKUP(F170,'[2]Cartola 05-2026'!$J$2:$S$85,10,0)</f>
        <v>#N/A</v>
      </c>
    </row>
    <row r="171" spans="1:11" x14ac:dyDescent="0.3">
      <c r="A171" s="8">
        <v>170</v>
      </c>
      <c r="B171" s="4" t="s">
        <v>142</v>
      </c>
      <c r="C171" s="4">
        <v>6</v>
      </c>
      <c r="D171" s="4">
        <v>7008757</v>
      </c>
      <c r="E171" s="5" t="s">
        <v>103</v>
      </c>
      <c r="F171" s="6">
        <v>37950</v>
      </c>
      <c r="G171" s="7">
        <v>0</v>
      </c>
      <c r="H171" s="7">
        <v>2856307</v>
      </c>
      <c r="J171" s="8" t="s">
        <v>48</v>
      </c>
      <c r="K171" s="8" t="s">
        <v>495</v>
      </c>
    </row>
    <row r="172" spans="1:11" x14ac:dyDescent="0.3">
      <c r="A172" s="8">
        <v>171</v>
      </c>
      <c r="B172" s="4" t="s">
        <v>142</v>
      </c>
      <c r="C172" s="4">
        <v>6</v>
      </c>
      <c r="D172" s="4">
        <v>7011934</v>
      </c>
      <c r="E172" s="5" t="s">
        <v>146</v>
      </c>
      <c r="F172" s="6">
        <v>500000</v>
      </c>
      <c r="G172" s="7">
        <v>0</v>
      </c>
      <c r="H172" s="7">
        <v>2356307</v>
      </c>
      <c r="J172" s="8" t="s">
        <v>48</v>
      </c>
      <c r="K172" s="8" t="str">
        <f>VLOOKUP(F172,'[1]121-CFT'!$I$6:$N$43,6,0)</f>
        <v>CFT</v>
      </c>
    </row>
    <row r="173" spans="1:11" x14ac:dyDescent="0.3">
      <c r="A173" s="8">
        <v>172</v>
      </c>
      <c r="B173" s="4" t="s">
        <v>147</v>
      </c>
      <c r="C173" s="4">
        <v>6</v>
      </c>
      <c r="D173" s="4">
        <v>4488031</v>
      </c>
      <c r="E173" s="5" t="s">
        <v>50</v>
      </c>
      <c r="F173" s="6">
        <v>3500</v>
      </c>
      <c r="G173" s="7">
        <v>0</v>
      </c>
      <c r="H173" s="7">
        <v>2352807</v>
      </c>
      <c r="J173" s="8" t="s">
        <v>48</v>
      </c>
      <c r="K173" s="8" t="e">
        <f>VLOOKUP(F173,'[2]Cartola 05-2026'!$J$2:$S$85,10,0)</f>
        <v>#N/A</v>
      </c>
    </row>
    <row r="174" spans="1:11" x14ac:dyDescent="0.3">
      <c r="A174" s="8">
        <v>166</v>
      </c>
      <c r="B174" s="4" t="s">
        <v>142</v>
      </c>
      <c r="C174" s="4">
        <v>6</v>
      </c>
      <c r="D174" s="4">
        <v>4852052</v>
      </c>
      <c r="E174" s="5" t="s">
        <v>143</v>
      </c>
      <c r="F174" s="6">
        <v>20000</v>
      </c>
      <c r="G174" s="7">
        <v>0</v>
      </c>
      <c r="H174" s="7">
        <v>3782056</v>
      </c>
      <c r="J174" s="8" t="s">
        <v>37</v>
      </c>
      <c r="K174" s="8">
        <v>0</v>
      </c>
    </row>
    <row r="175" spans="1:11" x14ac:dyDescent="0.3">
      <c r="A175" s="8">
        <v>174</v>
      </c>
      <c r="B175" s="4" t="s">
        <v>147</v>
      </c>
      <c r="C175" s="4">
        <v>6</v>
      </c>
      <c r="D175" s="4">
        <v>4036217</v>
      </c>
      <c r="E175" s="5" t="s">
        <v>36</v>
      </c>
      <c r="F175" s="6">
        <v>35393</v>
      </c>
      <c r="G175" s="7">
        <v>0</v>
      </c>
      <c r="H175" s="7">
        <v>2257414</v>
      </c>
      <c r="J175" s="8" t="s">
        <v>48</v>
      </c>
      <c r="K175" s="8" t="e">
        <f>VLOOKUP(F175,'[2]Cartola 05-2026'!$J$2:$S$85,10,0)</f>
        <v>#N/A</v>
      </c>
    </row>
    <row r="176" spans="1:11" x14ac:dyDescent="0.3">
      <c r="A176" s="8">
        <v>175</v>
      </c>
      <c r="B176" s="4" t="s">
        <v>149</v>
      </c>
      <c r="C176" s="4">
        <v>6</v>
      </c>
      <c r="D176" s="4">
        <v>7096334</v>
      </c>
      <c r="E176" s="5" t="s">
        <v>150</v>
      </c>
      <c r="F176" s="6">
        <v>242518</v>
      </c>
      <c r="G176" s="7">
        <v>0</v>
      </c>
      <c r="H176" s="7">
        <v>2014896</v>
      </c>
      <c r="J176" s="8" t="s">
        <v>48</v>
      </c>
      <c r="K176" s="8" t="e">
        <f>VLOOKUP(F176,'[2]Cartola 05-2026'!$J$2:$S$85,10,0)</f>
        <v>#N/A</v>
      </c>
    </row>
    <row r="177" spans="1:11" x14ac:dyDescent="0.3">
      <c r="A177" s="8">
        <v>173</v>
      </c>
      <c r="B177" s="4" t="s">
        <v>147</v>
      </c>
      <c r="C177" s="4">
        <v>6</v>
      </c>
      <c r="D177" s="4"/>
      <c r="E177" s="5" t="s">
        <v>148</v>
      </c>
      <c r="F177" s="6">
        <v>60000</v>
      </c>
      <c r="G177" s="7">
        <v>0</v>
      </c>
      <c r="H177" s="7">
        <v>2292807</v>
      </c>
      <c r="J177" s="8" t="s">
        <v>54</v>
      </c>
      <c r="K177" s="8">
        <v>0</v>
      </c>
    </row>
    <row r="178" spans="1:11" x14ac:dyDescent="0.3">
      <c r="A178" s="8">
        <v>176</v>
      </c>
      <c r="B178" s="4" t="s">
        <v>149</v>
      </c>
      <c r="C178" s="4">
        <v>6</v>
      </c>
      <c r="D178" s="4">
        <v>7005639</v>
      </c>
      <c r="E178" s="5" t="s">
        <v>151</v>
      </c>
      <c r="F178" s="6">
        <v>70000</v>
      </c>
      <c r="G178" s="7">
        <v>0</v>
      </c>
      <c r="H178" s="7">
        <v>1944896</v>
      </c>
      <c r="J178" s="8" t="s">
        <v>48</v>
      </c>
      <c r="K178" s="8">
        <v>0</v>
      </c>
    </row>
    <row r="179" spans="1:11" x14ac:dyDescent="0.3">
      <c r="A179" s="8">
        <v>177</v>
      </c>
      <c r="B179" s="4" t="s">
        <v>152</v>
      </c>
      <c r="C179" s="4">
        <v>6</v>
      </c>
      <c r="D179" s="4">
        <v>1077</v>
      </c>
      <c r="E179" s="5" t="s">
        <v>12</v>
      </c>
      <c r="F179" s="6">
        <v>0</v>
      </c>
      <c r="G179" s="7">
        <v>7000000</v>
      </c>
      <c r="H179" s="7">
        <v>8944896</v>
      </c>
      <c r="J179" s="8" t="s">
        <v>13</v>
      </c>
      <c r="K179" s="8">
        <v>0</v>
      </c>
    </row>
    <row r="180" spans="1:11" x14ac:dyDescent="0.3">
      <c r="A180" s="8">
        <v>179</v>
      </c>
      <c r="B180" s="4" t="s">
        <v>152</v>
      </c>
      <c r="C180" s="4">
        <v>6</v>
      </c>
      <c r="D180" s="4">
        <v>7031853</v>
      </c>
      <c r="E180" s="5" t="s">
        <v>25</v>
      </c>
      <c r="F180" s="6">
        <v>1785000</v>
      </c>
      <c r="G180" s="7">
        <v>0</v>
      </c>
      <c r="H180" s="7">
        <v>6159896</v>
      </c>
      <c r="J180" s="8" t="s">
        <v>48</v>
      </c>
      <c r="K180" s="8" t="e">
        <f>VLOOKUP(F180,'[2]Cartola 05-2026'!$J$2:$S$85,10,0)</f>
        <v>#N/A</v>
      </c>
    </row>
    <row r="181" spans="1:11" x14ac:dyDescent="0.3">
      <c r="A181" s="8">
        <v>180</v>
      </c>
      <c r="B181" s="4" t="s">
        <v>152</v>
      </c>
      <c r="C181" s="4">
        <v>6</v>
      </c>
      <c r="D181" s="4">
        <v>7037017</v>
      </c>
      <c r="E181" s="5" t="s">
        <v>146</v>
      </c>
      <c r="F181" s="6">
        <v>4854160</v>
      </c>
      <c r="G181" s="7">
        <v>0</v>
      </c>
      <c r="H181" s="7">
        <v>1305736</v>
      </c>
      <c r="J181" s="8" t="s">
        <v>48</v>
      </c>
      <c r="K181" s="8" t="str">
        <f>VLOOKUP(F181,'[1]121-CFT'!$I$6:$N$43,6,0)</f>
        <v>CFT</v>
      </c>
    </row>
    <row r="182" spans="1:11" x14ac:dyDescent="0.3">
      <c r="A182" s="8">
        <v>181</v>
      </c>
      <c r="B182" s="4" t="s">
        <v>152</v>
      </c>
      <c r="C182" s="4">
        <v>6</v>
      </c>
      <c r="D182" s="4">
        <v>4356466</v>
      </c>
      <c r="E182" s="5" t="s">
        <v>50</v>
      </c>
      <c r="F182" s="6">
        <v>21250</v>
      </c>
      <c r="G182" s="7">
        <v>0</v>
      </c>
      <c r="H182" s="7">
        <v>1284486</v>
      </c>
      <c r="J182" s="8" t="s">
        <v>48</v>
      </c>
      <c r="K182" s="8" t="e">
        <f>VLOOKUP(F182,'[2]Cartola 05-2026'!$J$2:$S$85,10,0)</f>
        <v>#N/A</v>
      </c>
    </row>
    <row r="183" spans="1:11" x14ac:dyDescent="0.3">
      <c r="A183" s="8">
        <v>178</v>
      </c>
      <c r="B183" s="4" t="s">
        <v>152</v>
      </c>
      <c r="C183" s="4">
        <v>6</v>
      </c>
      <c r="D183" s="4">
        <v>7040439</v>
      </c>
      <c r="E183" s="5" t="s">
        <v>153</v>
      </c>
      <c r="F183" s="6">
        <v>1000000</v>
      </c>
      <c r="G183" s="7">
        <v>0</v>
      </c>
      <c r="H183" s="7">
        <v>7944896</v>
      </c>
      <c r="J183" s="8" t="s">
        <v>48</v>
      </c>
      <c r="K183" s="8">
        <v>0</v>
      </c>
    </row>
    <row r="184" spans="1:11" x14ac:dyDescent="0.3">
      <c r="A184" s="8">
        <v>183</v>
      </c>
      <c r="B184" s="4" t="s">
        <v>154</v>
      </c>
      <c r="C184" s="4">
        <v>6</v>
      </c>
      <c r="D184" s="4">
        <v>4407983</v>
      </c>
      <c r="E184" s="5" t="s">
        <v>155</v>
      </c>
      <c r="F184" s="6">
        <v>20350</v>
      </c>
      <c r="G184" s="7">
        <v>0</v>
      </c>
      <c r="H184" s="7">
        <v>2791299</v>
      </c>
      <c r="J184" s="8" t="s">
        <v>48</v>
      </c>
      <c r="K184" s="8" t="e">
        <f>VLOOKUP(F184,'[2]Cartola 05-2026'!$J$2:$S$85,10,0)</f>
        <v>#N/A</v>
      </c>
    </row>
    <row r="185" spans="1:11" x14ac:dyDescent="0.3">
      <c r="A185" s="8">
        <v>184</v>
      </c>
      <c r="B185" s="4" t="s">
        <v>154</v>
      </c>
      <c r="C185" s="4">
        <v>6</v>
      </c>
      <c r="D185" s="4">
        <v>4407983</v>
      </c>
      <c r="E185" s="5" t="s">
        <v>155</v>
      </c>
      <c r="F185" s="6">
        <v>20350</v>
      </c>
      <c r="G185" s="7">
        <v>0</v>
      </c>
      <c r="H185" s="7">
        <v>2770949</v>
      </c>
      <c r="J185" s="8" t="s">
        <v>48</v>
      </c>
      <c r="K185" s="8" t="e">
        <f>VLOOKUP(F185,'[2]Cartola 05-2026'!$J$2:$S$85,10,0)</f>
        <v>#N/A</v>
      </c>
    </row>
    <row r="186" spans="1:11" x14ac:dyDescent="0.3">
      <c r="A186" s="8">
        <v>185</v>
      </c>
      <c r="B186" s="4" t="s">
        <v>154</v>
      </c>
      <c r="C186" s="4">
        <v>6</v>
      </c>
      <c r="D186" s="4">
        <v>4036217</v>
      </c>
      <c r="E186" s="5" t="s">
        <v>36</v>
      </c>
      <c r="F186" s="6">
        <v>31767</v>
      </c>
      <c r="G186" s="7">
        <v>0</v>
      </c>
      <c r="H186" s="7">
        <v>2739182</v>
      </c>
      <c r="J186" s="8" t="s">
        <v>48</v>
      </c>
      <c r="K186" s="8" t="e">
        <f>VLOOKUP(F186,'[2]Cartola 05-2026'!$J$2:$S$85,10,0)</f>
        <v>#N/A</v>
      </c>
    </row>
    <row r="187" spans="1:11" x14ac:dyDescent="0.3">
      <c r="A187" s="8">
        <v>182</v>
      </c>
      <c r="B187" s="4" t="s">
        <v>154</v>
      </c>
      <c r="C187" s="4">
        <v>6</v>
      </c>
      <c r="D187" s="4">
        <v>1077</v>
      </c>
      <c r="E187" s="5" t="s">
        <v>9</v>
      </c>
      <c r="F187" s="6">
        <v>0</v>
      </c>
      <c r="G187" s="7">
        <v>1527163</v>
      </c>
      <c r="H187" s="7">
        <v>2811649</v>
      </c>
      <c r="J187" s="8" t="s">
        <v>490</v>
      </c>
      <c r="K187" s="8">
        <v>0</v>
      </c>
    </row>
    <row r="188" spans="1:11" x14ac:dyDescent="0.3">
      <c r="A188" s="8">
        <v>186</v>
      </c>
      <c r="B188" s="4" t="s">
        <v>154</v>
      </c>
      <c r="C188" s="4">
        <v>6</v>
      </c>
      <c r="D188" s="4">
        <v>7070925</v>
      </c>
      <c r="E188" s="5" t="s">
        <v>156</v>
      </c>
      <c r="F188" s="6">
        <v>70000</v>
      </c>
      <c r="G188" s="7">
        <v>0</v>
      </c>
      <c r="H188" s="7">
        <v>2669182</v>
      </c>
      <c r="J188" s="8" t="s">
        <v>48</v>
      </c>
      <c r="K188" s="8">
        <v>0</v>
      </c>
    </row>
    <row r="189" spans="1:11" x14ac:dyDescent="0.3">
      <c r="A189" s="8">
        <v>187</v>
      </c>
      <c r="B189" s="4" t="s">
        <v>154</v>
      </c>
      <c r="C189" s="4">
        <v>6</v>
      </c>
      <c r="D189" s="4">
        <v>1077</v>
      </c>
      <c r="E189" s="5" t="s">
        <v>12</v>
      </c>
      <c r="F189" s="6">
        <v>0</v>
      </c>
      <c r="G189" s="7">
        <v>7000000</v>
      </c>
      <c r="H189" s="7">
        <v>9669182</v>
      </c>
      <c r="J189" s="8" t="s">
        <v>13</v>
      </c>
      <c r="K189" s="8">
        <v>0</v>
      </c>
    </row>
    <row r="190" spans="1:11" x14ac:dyDescent="0.3">
      <c r="A190" s="8">
        <v>188</v>
      </c>
      <c r="B190" s="4" t="s">
        <v>154</v>
      </c>
      <c r="C190" s="4">
        <v>6</v>
      </c>
      <c r="D190" s="4">
        <v>8080696</v>
      </c>
      <c r="E190" s="5" t="s">
        <v>157</v>
      </c>
      <c r="F190" s="6">
        <v>0</v>
      </c>
      <c r="G190" s="7">
        <v>59940</v>
      </c>
      <c r="H190" s="7">
        <v>9729122</v>
      </c>
      <c r="J190" s="8" t="s">
        <v>490</v>
      </c>
      <c r="K190" s="8">
        <v>0</v>
      </c>
    </row>
    <row r="191" spans="1:11" x14ac:dyDescent="0.3">
      <c r="A191" s="8">
        <v>190</v>
      </c>
      <c r="B191" s="4" t="s">
        <v>154</v>
      </c>
      <c r="C191" s="4">
        <v>6</v>
      </c>
      <c r="D191" s="4">
        <v>7042482</v>
      </c>
      <c r="E191" s="5" t="s">
        <v>31</v>
      </c>
      <c r="F191" s="6">
        <v>1468761</v>
      </c>
      <c r="G191" s="7">
        <v>0</v>
      </c>
      <c r="H191" s="7">
        <v>8531681</v>
      </c>
      <c r="J191" s="8" t="s">
        <v>48</v>
      </c>
      <c r="K191" s="8" t="s">
        <v>498</v>
      </c>
    </row>
    <row r="192" spans="1:11" x14ac:dyDescent="0.3">
      <c r="A192" s="8">
        <v>191</v>
      </c>
      <c r="B192" s="4" t="s">
        <v>154</v>
      </c>
      <c r="C192" s="4">
        <v>6</v>
      </c>
      <c r="D192" s="4">
        <v>7042479</v>
      </c>
      <c r="E192" s="5" t="s">
        <v>52</v>
      </c>
      <c r="F192" s="6">
        <v>4337550</v>
      </c>
      <c r="G192" s="7">
        <v>0</v>
      </c>
      <c r="H192" s="7">
        <v>4194131</v>
      </c>
      <c r="J192" s="8" t="s">
        <v>48</v>
      </c>
      <c r="K192" s="8" t="s">
        <v>498</v>
      </c>
    </row>
    <row r="193" spans="1:11" x14ac:dyDescent="0.3">
      <c r="A193" s="8">
        <v>189</v>
      </c>
      <c r="B193" s="4" t="s">
        <v>154</v>
      </c>
      <c r="C193" s="4">
        <v>6</v>
      </c>
      <c r="D193" s="4">
        <v>1350001</v>
      </c>
      <c r="E193" s="5" t="s">
        <v>158</v>
      </c>
      <c r="F193" s="6">
        <v>0</v>
      </c>
      <c r="G193" s="7">
        <v>271320</v>
      </c>
      <c r="H193" s="7">
        <v>10000442</v>
      </c>
      <c r="J193" s="8" t="s">
        <v>490</v>
      </c>
      <c r="K193" s="8" t="s">
        <v>491</v>
      </c>
    </row>
    <row r="194" spans="1:11" x14ac:dyDescent="0.3">
      <c r="A194" s="8">
        <v>193</v>
      </c>
      <c r="B194" s="4" t="s">
        <v>159</v>
      </c>
      <c r="C194" s="4">
        <v>7</v>
      </c>
      <c r="D194" s="4">
        <v>7068284</v>
      </c>
      <c r="E194" s="5" t="s">
        <v>160</v>
      </c>
      <c r="F194" s="6">
        <v>1280240</v>
      </c>
      <c r="G194" s="7">
        <v>0</v>
      </c>
      <c r="H194" s="7">
        <v>9913891</v>
      </c>
      <c r="J194" s="8" t="s">
        <v>48</v>
      </c>
      <c r="K194" s="8" t="str">
        <f>VLOOKUP(F194,'[1]121-CFT'!$I$6:$N$43,6,0)</f>
        <v>CFT</v>
      </c>
    </row>
    <row r="195" spans="1:11" x14ac:dyDescent="0.3">
      <c r="A195" s="8">
        <v>194</v>
      </c>
      <c r="B195" s="4" t="s">
        <v>159</v>
      </c>
      <c r="C195" s="4">
        <v>7</v>
      </c>
      <c r="D195" s="4">
        <v>7068283</v>
      </c>
      <c r="E195" s="5" t="s">
        <v>102</v>
      </c>
      <c r="F195" s="6">
        <v>3515792</v>
      </c>
      <c r="G195" s="7">
        <v>0</v>
      </c>
      <c r="H195" s="7">
        <v>6398099</v>
      </c>
      <c r="J195" s="8" t="s">
        <v>48</v>
      </c>
      <c r="K195" s="8" t="str">
        <f>VLOOKUP(F195,'[1]121-CFT'!$I$6:$N$43,6,0)</f>
        <v>CFT</v>
      </c>
    </row>
    <row r="196" spans="1:11" x14ac:dyDescent="0.3">
      <c r="A196" s="8">
        <v>195</v>
      </c>
      <c r="B196" s="4" t="s">
        <v>161</v>
      </c>
      <c r="C196" s="4">
        <v>7</v>
      </c>
      <c r="D196" s="4">
        <v>7092496</v>
      </c>
      <c r="E196" s="5" t="s">
        <v>162</v>
      </c>
      <c r="F196" s="6">
        <v>166243</v>
      </c>
      <c r="G196" s="7">
        <v>0</v>
      </c>
      <c r="H196" s="7">
        <v>6231856</v>
      </c>
      <c r="J196" s="8" t="s">
        <v>48</v>
      </c>
      <c r="K196" s="8" t="s">
        <v>497</v>
      </c>
    </row>
    <row r="197" spans="1:11" x14ac:dyDescent="0.3">
      <c r="A197" s="8">
        <v>192</v>
      </c>
      <c r="B197" s="4" t="s">
        <v>159</v>
      </c>
      <c r="C197" s="4">
        <v>7</v>
      </c>
      <c r="D197" s="4">
        <v>1077</v>
      </c>
      <c r="E197" s="5" t="s">
        <v>12</v>
      </c>
      <c r="F197" s="6">
        <v>0</v>
      </c>
      <c r="G197" s="7">
        <v>7000000</v>
      </c>
      <c r="H197" s="7">
        <v>11194131</v>
      </c>
      <c r="J197" s="8" t="s">
        <v>13</v>
      </c>
      <c r="K197" s="8">
        <v>0</v>
      </c>
    </row>
    <row r="198" spans="1:11" x14ac:dyDescent="0.3">
      <c r="A198" s="8">
        <v>197</v>
      </c>
      <c r="B198" s="4" t="s">
        <v>161</v>
      </c>
      <c r="C198" s="4">
        <v>7</v>
      </c>
      <c r="D198" s="4">
        <v>7083265</v>
      </c>
      <c r="E198" s="5" t="s">
        <v>164</v>
      </c>
      <c r="F198" s="6">
        <v>532828</v>
      </c>
      <c r="G198" s="7">
        <v>0</v>
      </c>
      <c r="H198" s="7">
        <v>4699028</v>
      </c>
      <c r="J198" s="8" t="s">
        <v>48</v>
      </c>
      <c r="K198" s="8" t="s">
        <v>497</v>
      </c>
    </row>
    <row r="199" spans="1:11" x14ac:dyDescent="0.3">
      <c r="A199" s="8">
        <v>198</v>
      </c>
      <c r="B199" s="4" t="s">
        <v>161</v>
      </c>
      <c r="C199" s="4">
        <v>7</v>
      </c>
      <c r="D199" s="4">
        <v>7083264</v>
      </c>
      <c r="E199" s="5" t="s">
        <v>165</v>
      </c>
      <c r="F199" s="6">
        <v>549990</v>
      </c>
      <c r="G199" s="7">
        <v>0</v>
      </c>
      <c r="H199" s="7">
        <v>4149038</v>
      </c>
      <c r="J199" s="8" t="s">
        <v>48</v>
      </c>
      <c r="K199" s="8" t="s">
        <v>497</v>
      </c>
    </row>
    <row r="200" spans="1:11" x14ac:dyDescent="0.3">
      <c r="A200" s="8">
        <v>199</v>
      </c>
      <c r="B200" s="4" t="s">
        <v>161</v>
      </c>
      <c r="C200" s="4">
        <v>7</v>
      </c>
      <c r="D200" s="4">
        <v>7038006</v>
      </c>
      <c r="E200" s="5" t="s">
        <v>166</v>
      </c>
      <c r="F200" s="6">
        <v>396085</v>
      </c>
      <c r="G200" s="7">
        <v>0</v>
      </c>
      <c r="H200" s="7">
        <v>3752953</v>
      </c>
      <c r="J200" s="8" t="s">
        <v>48</v>
      </c>
      <c r="K200" s="8" t="e">
        <f>VLOOKUP(F200,'[2]Cartola 05-2026'!$J$2:$S$85,10,0)</f>
        <v>#N/A</v>
      </c>
    </row>
    <row r="201" spans="1:11" x14ac:dyDescent="0.3">
      <c r="A201" s="8">
        <v>196</v>
      </c>
      <c r="B201" s="4" t="s">
        <v>161</v>
      </c>
      <c r="C201" s="4">
        <v>7</v>
      </c>
      <c r="D201" s="4">
        <v>7084815</v>
      </c>
      <c r="E201" s="5" t="s">
        <v>163</v>
      </c>
      <c r="F201" s="6">
        <v>1000000</v>
      </c>
      <c r="G201" s="7">
        <v>0</v>
      </c>
      <c r="H201" s="7">
        <v>5231856</v>
      </c>
      <c r="J201" s="8" t="s">
        <v>48</v>
      </c>
      <c r="K201" s="8" t="s">
        <v>497</v>
      </c>
    </row>
    <row r="202" spans="1:11" x14ac:dyDescent="0.3">
      <c r="A202" s="8">
        <v>201</v>
      </c>
      <c r="B202" s="4" t="s">
        <v>161</v>
      </c>
      <c r="C202" s="4">
        <v>7</v>
      </c>
      <c r="D202" s="4">
        <v>4036217</v>
      </c>
      <c r="E202" s="5" t="s">
        <v>36</v>
      </c>
      <c r="F202" s="6">
        <v>19888</v>
      </c>
      <c r="G202" s="7">
        <v>0</v>
      </c>
      <c r="H202" s="7">
        <v>3713065</v>
      </c>
      <c r="J202" s="8" t="s">
        <v>48</v>
      </c>
      <c r="K202" s="8" t="e">
        <f>VLOOKUP(F202,'[2]Cartola 05-2026'!$J$2:$S$85,10,0)</f>
        <v>#N/A</v>
      </c>
    </row>
    <row r="203" spans="1:11" x14ac:dyDescent="0.3">
      <c r="A203" s="8">
        <v>202</v>
      </c>
      <c r="B203" s="4" t="s">
        <v>161</v>
      </c>
      <c r="C203" s="4">
        <v>7</v>
      </c>
      <c r="D203" s="4">
        <v>4036217</v>
      </c>
      <c r="E203" s="5" t="s">
        <v>36</v>
      </c>
      <c r="F203" s="6">
        <v>32880</v>
      </c>
      <c r="G203" s="7">
        <v>0</v>
      </c>
      <c r="H203" s="7">
        <v>3680185</v>
      </c>
      <c r="J203" s="8" t="s">
        <v>48</v>
      </c>
      <c r="K203" s="8" t="e">
        <f>VLOOKUP(F203,'[2]Cartola 05-2026'!$J$2:$S$85,10,0)</f>
        <v>#N/A</v>
      </c>
    </row>
    <row r="204" spans="1:11" x14ac:dyDescent="0.3">
      <c r="A204" s="8">
        <v>203</v>
      </c>
      <c r="B204" s="4" t="s">
        <v>161</v>
      </c>
      <c r="C204" s="4">
        <v>7</v>
      </c>
      <c r="D204" s="4">
        <v>7009107</v>
      </c>
      <c r="E204" s="5" t="s">
        <v>168</v>
      </c>
      <c r="F204" s="6">
        <v>262388</v>
      </c>
      <c r="G204" s="7">
        <v>0</v>
      </c>
      <c r="H204" s="7">
        <v>3417797</v>
      </c>
      <c r="J204" s="8" t="s">
        <v>48</v>
      </c>
      <c r="K204" s="8" t="s">
        <v>497</v>
      </c>
    </row>
    <row r="205" spans="1:11" x14ac:dyDescent="0.3">
      <c r="A205" s="8">
        <v>204</v>
      </c>
      <c r="B205" s="4" t="s">
        <v>161</v>
      </c>
      <c r="C205" s="4">
        <v>7</v>
      </c>
      <c r="D205" s="4">
        <v>7010678</v>
      </c>
      <c r="E205" s="5" t="s">
        <v>153</v>
      </c>
      <c r="F205" s="6">
        <v>320900</v>
      </c>
      <c r="G205" s="7">
        <v>0</v>
      </c>
      <c r="H205" s="7">
        <v>3096897</v>
      </c>
      <c r="J205" s="8" t="s">
        <v>48</v>
      </c>
      <c r="K205" s="8" t="str">
        <f>VLOOKUP(F205,'[1]121-CFT'!$I$6:$N$43,6,0)</f>
        <v>CFT</v>
      </c>
    </row>
    <row r="206" spans="1:11" x14ac:dyDescent="0.3">
      <c r="A206" s="8">
        <v>205</v>
      </c>
      <c r="B206" s="4" t="s">
        <v>161</v>
      </c>
      <c r="C206" s="4">
        <v>7</v>
      </c>
      <c r="D206" s="4">
        <v>7010679</v>
      </c>
      <c r="E206" s="5" t="s">
        <v>163</v>
      </c>
      <c r="F206" s="6">
        <v>327826</v>
      </c>
      <c r="G206" s="7">
        <v>0</v>
      </c>
      <c r="H206" s="7">
        <v>2769071</v>
      </c>
      <c r="J206" s="8" t="s">
        <v>48</v>
      </c>
      <c r="K206" s="8" t="s">
        <v>497</v>
      </c>
    </row>
    <row r="207" spans="1:11" x14ac:dyDescent="0.3">
      <c r="A207" s="8">
        <v>206</v>
      </c>
      <c r="B207" s="4" t="s">
        <v>161</v>
      </c>
      <c r="C207" s="4">
        <v>7</v>
      </c>
      <c r="D207" s="4">
        <v>7012716</v>
      </c>
      <c r="E207" s="5" t="s">
        <v>169</v>
      </c>
      <c r="F207" s="6">
        <v>702100</v>
      </c>
      <c r="G207" s="7">
        <v>0</v>
      </c>
      <c r="H207" s="7">
        <v>2066971</v>
      </c>
      <c r="J207" s="8" t="s">
        <v>48</v>
      </c>
      <c r="K207" s="8" t="e">
        <f>VLOOKUP(F207,'[2]Cartola 05-2026'!$J$2:$S$85,10,0)</f>
        <v>#N/A</v>
      </c>
    </row>
    <row r="208" spans="1:11" x14ac:dyDescent="0.3">
      <c r="A208" s="8">
        <v>207</v>
      </c>
      <c r="B208" s="4" t="s">
        <v>170</v>
      </c>
      <c r="C208" s="4">
        <v>7</v>
      </c>
      <c r="D208" s="4">
        <v>4318320</v>
      </c>
      <c r="E208" s="5" t="s">
        <v>171</v>
      </c>
      <c r="F208" s="6">
        <v>17400</v>
      </c>
      <c r="G208" s="7">
        <v>0</v>
      </c>
      <c r="H208" s="7">
        <v>2049571</v>
      </c>
      <c r="J208" s="8" t="s">
        <v>48</v>
      </c>
      <c r="K208" s="8" t="e">
        <f>VLOOKUP(F208,'[2]Cartola 05-2026'!$J$2:$S$85,10,0)</f>
        <v>#N/A</v>
      </c>
    </row>
    <row r="209" spans="1:11" x14ac:dyDescent="0.3">
      <c r="A209" s="8">
        <v>208</v>
      </c>
      <c r="B209" s="4" t="s">
        <v>172</v>
      </c>
      <c r="C209" s="4">
        <v>7</v>
      </c>
      <c r="D209" s="4">
        <v>4393121</v>
      </c>
      <c r="E209" s="5" t="s">
        <v>50</v>
      </c>
      <c r="F209" s="6">
        <v>8600</v>
      </c>
      <c r="G209" s="7">
        <v>0</v>
      </c>
      <c r="H209" s="7">
        <v>2040971</v>
      </c>
      <c r="J209" s="8" t="s">
        <v>48</v>
      </c>
      <c r="K209" s="8" t="e">
        <f>VLOOKUP(F209,'[2]Cartola 05-2026'!$J$2:$S$85,10,0)</f>
        <v>#N/A</v>
      </c>
    </row>
    <row r="210" spans="1:11" x14ac:dyDescent="0.3">
      <c r="A210" s="8">
        <v>209</v>
      </c>
      <c r="B210" s="4" t="s">
        <v>173</v>
      </c>
      <c r="C210" s="4">
        <v>7</v>
      </c>
      <c r="D210" s="4">
        <v>4036217</v>
      </c>
      <c r="E210" s="5" t="s">
        <v>36</v>
      </c>
      <c r="F210" s="6">
        <v>36277</v>
      </c>
      <c r="G210" s="7">
        <v>0</v>
      </c>
      <c r="H210" s="7">
        <v>2004694</v>
      </c>
      <c r="J210" s="8" t="s">
        <v>48</v>
      </c>
      <c r="K210" s="8" t="e">
        <f>VLOOKUP(F210,'[2]Cartola 05-2026'!$J$2:$S$85,10,0)</f>
        <v>#N/A</v>
      </c>
    </row>
    <row r="211" spans="1:11" x14ac:dyDescent="0.3">
      <c r="A211" s="8">
        <v>210</v>
      </c>
      <c r="B211" s="4" t="s">
        <v>173</v>
      </c>
      <c r="C211" s="4">
        <v>7</v>
      </c>
      <c r="D211" s="4">
        <v>1495845</v>
      </c>
      <c r="E211" s="5" t="s">
        <v>174</v>
      </c>
      <c r="F211" s="6">
        <v>58727</v>
      </c>
      <c r="G211" s="7">
        <v>0</v>
      </c>
      <c r="H211" s="7">
        <v>1945967</v>
      </c>
      <c r="J211" s="8" t="s">
        <v>48</v>
      </c>
      <c r="K211" s="8" t="e">
        <f>VLOOKUP(F211,'[2]Cartola 05-2026'!$J$2:$S$85,10,0)</f>
        <v>#N/A</v>
      </c>
    </row>
    <row r="212" spans="1:11" x14ac:dyDescent="0.3">
      <c r="A212" s="8">
        <v>211</v>
      </c>
      <c r="B212" s="4" t="s">
        <v>173</v>
      </c>
      <c r="C212" s="4">
        <v>7</v>
      </c>
      <c r="D212" s="4">
        <v>7038250</v>
      </c>
      <c r="E212" s="5" t="s">
        <v>175</v>
      </c>
      <c r="F212" s="6">
        <v>771331</v>
      </c>
      <c r="G212" s="7">
        <v>0</v>
      </c>
      <c r="H212" s="7">
        <v>1174636</v>
      </c>
      <c r="J212" s="8" t="s">
        <v>176</v>
      </c>
      <c r="K212" s="8" t="e">
        <f>VLOOKUP(F212,'[2]Cartola 05-2026'!$J$2:$S$85,10,0)</f>
        <v>#N/A</v>
      </c>
    </row>
    <row r="213" spans="1:11" x14ac:dyDescent="0.3">
      <c r="A213" s="8">
        <v>212</v>
      </c>
      <c r="B213" s="4" t="s">
        <v>173</v>
      </c>
      <c r="C213" s="4">
        <v>7</v>
      </c>
      <c r="D213" s="4">
        <v>4270765</v>
      </c>
      <c r="E213" s="5" t="s">
        <v>177</v>
      </c>
      <c r="F213" s="6">
        <v>11000</v>
      </c>
      <c r="G213" s="7">
        <v>0</v>
      </c>
      <c r="H213" s="7">
        <v>1163636</v>
      </c>
      <c r="J213" s="8" t="s">
        <v>48</v>
      </c>
      <c r="K213" s="8" t="e">
        <f>VLOOKUP(F213,'[2]Cartola 05-2026'!$J$2:$S$85,10,0)</f>
        <v>#N/A</v>
      </c>
    </row>
    <row r="214" spans="1:11" x14ac:dyDescent="0.3">
      <c r="A214" s="8">
        <v>200</v>
      </c>
      <c r="B214" s="4" t="s">
        <v>161</v>
      </c>
      <c r="C214" s="4">
        <v>7</v>
      </c>
      <c r="D214" s="4"/>
      <c r="E214" s="5" t="s">
        <v>167</v>
      </c>
      <c r="F214" s="6">
        <v>20000</v>
      </c>
      <c r="G214" s="7">
        <v>0</v>
      </c>
      <c r="H214" s="7">
        <v>3732953</v>
      </c>
      <c r="J214" s="8" t="s">
        <v>54</v>
      </c>
      <c r="K214" s="8">
        <v>0</v>
      </c>
    </row>
    <row r="215" spans="1:11" x14ac:dyDescent="0.3">
      <c r="A215" s="8">
        <v>214</v>
      </c>
      <c r="B215" s="4" t="s">
        <v>173</v>
      </c>
      <c r="C215" s="4">
        <v>7</v>
      </c>
      <c r="D215" s="4">
        <v>4036217</v>
      </c>
      <c r="E215" s="5" t="s">
        <v>36</v>
      </c>
      <c r="F215" s="6">
        <v>31474</v>
      </c>
      <c r="G215" s="7">
        <v>0</v>
      </c>
      <c r="H215" s="7">
        <v>1117162</v>
      </c>
      <c r="J215" s="8" t="s">
        <v>48</v>
      </c>
      <c r="K215" s="8" t="e">
        <f>VLOOKUP(F215,'[2]Cartola 05-2026'!$J$2:$S$85,10,0)</f>
        <v>#N/A</v>
      </c>
    </row>
    <row r="216" spans="1:11" x14ac:dyDescent="0.3">
      <c r="A216" s="8">
        <v>213</v>
      </c>
      <c r="B216" s="4" t="s">
        <v>173</v>
      </c>
      <c r="C216" s="4">
        <v>7</v>
      </c>
      <c r="D216" s="4">
        <v>1166277</v>
      </c>
      <c r="E216" s="5" t="s">
        <v>178</v>
      </c>
      <c r="F216" s="6">
        <v>15000</v>
      </c>
      <c r="G216" s="7">
        <v>0</v>
      </c>
      <c r="H216" s="7">
        <v>1148636</v>
      </c>
      <c r="J216" s="8" t="s">
        <v>48</v>
      </c>
      <c r="K216" s="8">
        <v>0</v>
      </c>
    </row>
    <row r="217" spans="1:11" x14ac:dyDescent="0.3">
      <c r="A217" s="8">
        <v>216</v>
      </c>
      <c r="B217" s="4" t="s">
        <v>179</v>
      </c>
      <c r="C217" s="4">
        <v>7</v>
      </c>
      <c r="D217" s="4">
        <v>1338541</v>
      </c>
      <c r="E217" s="5" t="s">
        <v>180</v>
      </c>
      <c r="F217" s="6">
        <v>3800</v>
      </c>
      <c r="G217" s="7">
        <v>0</v>
      </c>
      <c r="H217" s="7">
        <v>6113362</v>
      </c>
      <c r="J217" s="8" t="s">
        <v>48</v>
      </c>
      <c r="K217" s="8" t="e">
        <f>VLOOKUP(F217,'[2]Cartola 05-2026'!$J$2:$S$85,10,0)</f>
        <v>#N/A</v>
      </c>
    </row>
    <row r="218" spans="1:11" x14ac:dyDescent="0.3">
      <c r="A218" s="8">
        <v>217</v>
      </c>
      <c r="B218" s="4" t="s">
        <v>179</v>
      </c>
      <c r="C218" s="4">
        <v>7</v>
      </c>
      <c r="D218" s="4">
        <v>3334647</v>
      </c>
      <c r="E218" s="5" t="s">
        <v>181</v>
      </c>
      <c r="F218" s="6">
        <v>41351</v>
      </c>
      <c r="G218" s="7">
        <v>0</v>
      </c>
      <c r="H218" s="7">
        <v>6072011</v>
      </c>
      <c r="J218" s="8" t="s">
        <v>48</v>
      </c>
      <c r="K218" s="8" t="e">
        <f>VLOOKUP(F218,'[2]Cartola 05-2026'!$J$2:$S$85,10,0)</f>
        <v>#N/A</v>
      </c>
    </row>
    <row r="219" spans="1:11" x14ac:dyDescent="0.3">
      <c r="A219" s="8">
        <v>218</v>
      </c>
      <c r="B219" s="4" t="s">
        <v>179</v>
      </c>
      <c r="C219" s="4">
        <v>7</v>
      </c>
      <c r="D219" s="4">
        <v>1338541</v>
      </c>
      <c r="E219" s="5" t="s">
        <v>180</v>
      </c>
      <c r="F219" s="6">
        <v>3800</v>
      </c>
      <c r="G219" s="7">
        <v>0</v>
      </c>
      <c r="H219" s="7">
        <v>6068211</v>
      </c>
      <c r="J219" s="8" t="s">
        <v>48</v>
      </c>
      <c r="K219" s="8" t="e">
        <f>VLOOKUP(F219,'[2]Cartola 05-2026'!$J$2:$S$85,10,0)</f>
        <v>#N/A</v>
      </c>
    </row>
    <row r="220" spans="1:11" x14ac:dyDescent="0.3">
      <c r="A220" s="8">
        <v>215</v>
      </c>
      <c r="B220" s="4" t="s">
        <v>179</v>
      </c>
      <c r="C220" s="4">
        <v>7</v>
      </c>
      <c r="D220" s="4">
        <v>1077</v>
      </c>
      <c r="E220" s="5" t="s">
        <v>12</v>
      </c>
      <c r="F220" s="6">
        <v>0</v>
      </c>
      <c r="G220" s="7">
        <v>5000000</v>
      </c>
      <c r="H220" s="7">
        <v>6117162</v>
      </c>
      <c r="J220" s="8" t="s">
        <v>13</v>
      </c>
      <c r="K220" s="8">
        <v>0</v>
      </c>
    </row>
    <row r="221" spans="1:11" x14ac:dyDescent="0.3">
      <c r="A221" s="8">
        <v>219</v>
      </c>
      <c r="B221" s="4" t="s">
        <v>182</v>
      </c>
      <c r="C221" s="4">
        <v>7</v>
      </c>
      <c r="D221" s="4">
        <v>7019845</v>
      </c>
      <c r="E221" s="5" t="s">
        <v>183</v>
      </c>
      <c r="F221" s="6">
        <v>283487</v>
      </c>
      <c r="G221" s="7">
        <v>0</v>
      </c>
      <c r="H221" s="7">
        <v>5784724</v>
      </c>
      <c r="J221" s="8" t="s">
        <v>48</v>
      </c>
      <c r="K221" s="8">
        <v>0</v>
      </c>
    </row>
    <row r="222" spans="1:11" x14ac:dyDescent="0.3">
      <c r="A222" s="8">
        <v>220</v>
      </c>
      <c r="B222" s="4" t="s">
        <v>182</v>
      </c>
      <c r="C222" s="4">
        <v>7</v>
      </c>
      <c r="D222" s="4">
        <v>7022669</v>
      </c>
      <c r="E222" s="5" t="s">
        <v>184</v>
      </c>
      <c r="F222" s="6">
        <v>644742</v>
      </c>
      <c r="G222" s="7">
        <v>0</v>
      </c>
      <c r="H222" s="7">
        <v>5139982</v>
      </c>
      <c r="J222" s="8" t="s">
        <v>48</v>
      </c>
      <c r="K222" s="8">
        <v>0</v>
      </c>
    </row>
    <row r="223" spans="1:11" x14ac:dyDescent="0.3">
      <c r="A223" s="8">
        <v>222</v>
      </c>
      <c r="B223" s="4" t="s">
        <v>182</v>
      </c>
      <c r="C223" s="4">
        <v>7</v>
      </c>
      <c r="D223" s="4">
        <v>7018491</v>
      </c>
      <c r="E223" s="5" t="s">
        <v>186</v>
      </c>
      <c r="F223" s="6">
        <v>166501</v>
      </c>
      <c r="G223" s="7">
        <v>0</v>
      </c>
      <c r="H223" s="7">
        <v>4427271</v>
      </c>
      <c r="J223" s="8" t="s">
        <v>48</v>
      </c>
      <c r="K223" s="8" t="e">
        <f>VLOOKUP(F223,'[2]Cartola 05-2026'!$J$2:$S$85,10,0)</f>
        <v>#N/A</v>
      </c>
    </row>
    <row r="224" spans="1:11" x14ac:dyDescent="0.3">
      <c r="A224" s="8">
        <v>223</v>
      </c>
      <c r="B224" s="4" t="s">
        <v>182</v>
      </c>
      <c r="C224" s="4">
        <v>7</v>
      </c>
      <c r="D224" s="4">
        <v>7017231</v>
      </c>
      <c r="E224" s="5" t="s">
        <v>166</v>
      </c>
      <c r="F224" s="6">
        <v>396086</v>
      </c>
      <c r="G224" s="7">
        <v>0</v>
      </c>
      <c r="H224" s="7">
        <v>4031185</v>
      </c>
      <c r="J224" s="8" t="s">
        <v>48</v>
      </c>
      <c r="K224" s="8" t="e">
        <f>VLOOKUP(F224,'[2]Cartola 05-2026'!$J$2:$S$85,10,0)</f>
        <v>#N/A</v>
      </c>
    </row>
    <row r="225" spans="1:11" x14ac:dyDescent="0.3">
      <c r="A225" s="8">
        <v>224</v>
      </c>
      <c r="B225" s="4" t="s">
        <v>187</v>
      </c>
      <c r="C225" s="4">
        <v>7</v>
      </c>
      <c r="D225" s="4"/>
      <c r="E225" s="5" t="s">
        <v>188</v>
      </c>
      <c r="F225" s="6">
        <v>200000</v>
      </c>
      <c r="G225" s="7">
        <v>0</v>
      </c>
      <c r="H225" s="7">
        <v>3831185</v>
      </c>
      <c r="J225" s="8" t="s">
        <v>54</v>
      </c>
      <c r="K225" s="8" t="e">
        <f>VLOOKUP(F225,'[2]Cartola 05-2026'!$J$2:$S$85,10,0)</f>
        <v>#N/A</v>
      </c>
    </row>
    <row r="226" spans="1:11" x14ac:dyDescent="0.3">
      <c r="A226" s="8">
        <v>225</v>
      </c>
      <c r="B226" s="4" t="s">
        <v>187</v>
      </c>
      <c r="C226" s="4">
        <v>7</v>
      </c>
      <c r="D226" s="4">
        <v>4840179</v>
      </c>
      <c r="E226" s="5" t="s">
        <v>189</v>
      </c>
      <c r="F226" s="6">
        <v>8000</v>
      </c>
      <c r="G226" s="7">
        <v>0</v>
      </c>
      <c r="H226" s="7">
        <v>3823185</v>
      </c>
      <c r="J226" s="8" t="s">
        <v>48</v>
      </c>
      <c r="K226" s="8" t="e">
        <f>VLOOKUP(F226,'[2]Cartola 05-2026'!$J$2:$S$85,10,0)</f>
        <v>#N/A</v>
      </c>
    </row>
    <row r="227" spans="1:11" x14ac:dyDescent="0.3">
      <c r="A227" s="8">
        <v>226</v>
      </c>
      <c r="B227" s="4" t="s">
        <v>187</v>
      </c>
      <c r="C227" s="4">
        <v>7</v>
      </c>
      <c r="D227" s="4">
        <v>4036217</v>
      </c>
      <c r="E227" s="5" t="s">
        <v>36</v>
      </c>
      <c r="F227" s="6">
        <v>38435</v>
      </c>
      <c r="G227" s="7">
        <v>0</v>
      </c>
      <c r="H227" s="7">
        <v>3784750</v>
      </c>
      <c r="J227" s="8" t="s">
        <v>48</v>
      </c>
      <c r="K227" s="8" t="e">
        <f>VLOOKUP(F227,'[2]Cartola 05-2026'!$J$2:$S$85,10,0)</f>
        <v>#N/A</v>
      </c>
    </row>
    <row r="228" spans="1:11" x14ac:dyDescent="0.3">
      <c r="A228" s="8">
        <v>227</v>
      </c>
      <c r="B228" s="4" t="s">
        <v>187</v>
      </c>
      <c r="C228" s="4">
        <v>7</v>
      </c>
      <c r="D228" s="4">
        <v>1122133</v>
      </c>
      <c r="E228" s="5" t="s">
        <v>190</v>
      </c>
      <c r="F228" s="6">
        <v>12980</v>
      </c>
      <c r="G228" s="7">
        <v>0</v>
      </c>
      <c r="H228" s="7">
        <v>3771770</v>
      </c>
      <c r="J228" s="8" t="s">
        <v>48</v>
      </c>
      <c r="K228" s="8" t="e">
        <f>VLOOKUP(F228,'[2]Cartola 05-2026'!$J$2:$S$85,10,0)</f>
        <v>#N/A</v>
      </c>
    </row>
    <row r="229" spans="1:11" x14ac:dyDescent="0.3">
      <c r="A229" s="8">
        <v>228</v>
      </c>
      <c r="B229" s="4" t="s">
        <v>187</v>
      </c>
      <c r="C229" s="4">
        <v>8</v>
      </c>
      <c r="D229" s="4">
        <v>7086089</v>
      </c>
      <c r="E229" s="5" t="s">
        <v>175</v>
      </c>
      <c r="F229" s="6">
        <v>495904</v>
      </c>
      <c r="G229" s="7">
        <v>0</v>
      </c>
      <c r="H229" s="7">
        <v>3275866</v>
      </c>
      <c r="J229" s="8" t="s">
        <v>176</v>
      </c>
      <c r="K229" s="8" t="e">
        <f>VLOOKUP(F229,'[2]Cartola 05-2026'!$J$2:$S$85,10,0)</f>
        <v>#N/A</v>
      </c>
    </row>
    <row r="230" spans="1:11" x14ac:dyDescent="0.3">
      <c r="A230" s="8">
        <v>221</v>
      </c>
      <c r="B230" s="4" t="s">
        <v>182</v>
      </c>
      <c r="C230" s="4">
        <v>7</v>
      </c>
      <c r="D230" s="4">
        <v>7020849</v>
      </c>
      <c r="E230" s="5" t="s">
        <v>185</v>
      </c>
      <c r="F230" s="6">
        <v>546210</v>
      </c>
      <c r="G230" s="7">
        <v>0</v>
      </c>
      <c r="H230" s="7">
        <v>4593772</v>
      </c>
      <c r="J230" s="8" t="s">
        <v>48</v>
      </c>
      <c r="K230" s="8">
        <v>0</v>
      </c>
    </row>
    <row r="231" spans="1:11" x14ac:dyDescent="0.3">
      <c r="A231" s="8">
        <v>229</v>
      </c>
      <c r="B231" s="4" t="s">
        <v>191</v>
      </c>
      <c r="C231" s="4">
        <v>8</v>
      </c>
      <c r="D231" s="4">
        <v>1077</v>
      </c>
      <c r="E231" s="5" t="s">
        <v>12</v>
      </c>
      <c r="F231" s="6">
        <v>0</v>
      </c>
      <c r="G231" s="7">
        <v>7000000</v>
      </c>
      <c r="H231" s="7">
        <v>10275866</v>
      </c>
      <c r="J231" s="8" t="s">
        <v>13</v>
      </c>
      <c r="K231" s="8">
        <v>0</v>
      </c>
    </row>
    <row r="232" spans="1:11" x14ac:dyDescent="0.3">
      <c r="A232" s="8">
        <v>231</v>
      </c>
      <c r="B232" s="4" t="s">
        <v>191</v>
      </c>
      <c r="C232" s="4">
        <v>8</v>
      </c>
      <c r="D232" s="4">
        <v>7001905</v>
      </c>
      <c r="E232" s="5" t="s">
        <v>25</v>
      </c>
      <c r="F232" s="6">
        <v>115000</v>
      </c>
      <c r="G232" s="7">
        <v>0</v>
      </c>
      <c r="H232" s="7">
        <v>17160866</v>
      </c>
      <c r="J232" s="8" t="s">
        <v>48</v>
      </c>
      <c r="K232" s="8" t="e">
        <f>VLOOKUP(F232,'[2]Cartola 05-2026'!$J$2:$S$85,10,0)</f>
        <v>#N/A</v>
      </c>
    </row>
    <row r="233" spans="1:11" x14ac:dyDescent="0.3">
      <c r="A233" s="8">
        <v>230</v>
      </c>
      <c r="B233" s="4" t="s">
        <v>191</v>
      </c>
      <c r="C233" s="4">
        <v>8</v>
      </c>
      <c r="D233" s="4">
        <v>1077</v>
      </c>
      <c r="E233" s="5" t="s">
        <v>12</v>
      </c>
      <c r="F233" s="6">
        <v>0</v>
      </c>
      <c r="G233" s="7">
        <v>7000000</v>
      </c>
      <c r="H233" s="7">
        <v>17275866</v>
      </c>
      <c r="J233" s="8" t="s">
        <v>13</v>
      </c>
      <c r="K233" s="8">
        <v>0</v>
      </c>
    </row>
    <row r="234" spans="1:11" x14ac:dyDescent="0.3">
      <c r="A234" s="8">
        <v>232</v>
      </c>
      <c r="B234" s="4" t="s">
        <v>191</v>
      </c>
      <c r="C234" s="4">
        <v>8</v>
      </c>
      <c r="D234" s="4">
        <v>7001220</v>
      </c>
      <c r="E234" s="5" t="s">
        <v>25</v>
      </c>
      <c r="F234" s="6">
        <v>5000000</v>
      </c>
      <c r="G234" s="7">
        <v>0</v>
      </c>
      <c r="H234" s="7">
        <v>12160866</v>
      </c>
      <c r="J234" s="8" t="s">
        <v>48</v>
      </c>
      <c r="K234" s="8">
        <v>0</v>
      </c>
    </row>
    <row r="235" spans="1:11" x14ac:dyDescent="0.3">
      <c r="A235" s="8">
        <v>234</v>
      </c>
      <c r="B235" s="4" t="s">
        <v>192</v>
      </c>
      <c r="C235" s="4">
        <v>8</v>
      </c>
      <c r="D235" s="4">
        <v>7095526</v>
      </c>
      <c r="E235" s="5" t="s">
        <v>89</v>
      </c>
      <c r="F235" s="6">
        <v>682896</v>
      </c>
      <c r="G235" s="7">
        <v>0</v>
      </c>
      <c r="H235" s="7">
        <v>6477970</v>
      </c>
      <c r="J235" s="8" t="s">
        <v>48</v>
      </c>
      <c r="K235" s="8" t="e">
        <f>VLOOKUP(F235,'[2]Cartola 05-2026'!$J$2:$S$85,10,0)</f>
        <v>#N/A</v>
      </c>
    </row>
    <row r="236" spans="1:11" x14ac:dyDescent="0.3">
      <c r="A236" s="8">
        <v>235</v>
      </c>
      <c r="B236" s="4" t="s">
        <v>193</v>
      </c>
      <c r="C236" s="4">
        <v>8</v>
      </c>
      <c r="D236" s="4">
        <v>7080616</v>
      </c>
      <c r="E236" s="5" t="s">
        <v>194</v>
      </c>
      <c r="F236" s="6">
        <v>128680</v>
      </c>
      <c r="G236" s="7">
        <v>0</v>
      </c>
      <c r="H236" s="7">
        <v>6349290</v>
      </c>
      <c r="J236" s="8" t="s">
        <v>176</v>
      </c>
      <c r="K236" s="8" t="e">
        <f>VLOOKUP(F236,'[2]Cartola 05-2026'!$J$2:$S$85,10,0)</f>
        <v>#N/A</v>
      </c>
    </row>
    <row r="237" spans="1:11" x14ac:dyDescent="0.3">
      <c r="A237" s="8">
        <v>236</v>
      </c>
      <c r="B237" s="4" t="s">
        <v>195</v>
      </c>
      <c r="C237" s="4">
        <v>8</v>
      </c>
      <c r="D237" s="4">
        <v>7083747</v>
      </c>
      <c r="E237" s="5" t="s">
        <v>196</v>
      </c>
      <c r="F237" s="6">
        <v>238000</v>
      </c>
      <c r="G237" s="7">
        <v>0</v>
      </c>
      <c r="H237" s="7">
        <v>6111290</v>
      </c>
      <c r="J237" s="8" t="s">
        <v>48</v>
      </c>
      <c r="K237" s="8" t="e">
        <f>VLOOKUP(F237,'[2]Cartola 05-2026'!$J$2:$S$85,10,0)</f>
        <v>#N/A</v>
      </c>
    </row>
    <row r="238" spans="1:11" x14ac:dyDescent="0.3">
      <c r="A238" s="8">
        <v>237</v>
      </c>
      <c r="B238" s="4" t="s">
        <v>195</v>
      </c>
      <c r="C238" s="4">
        <v>8</v>
      </c>
      <c r="D238" s="4">
        <v>7083748</v>
      </c>
      <c r="E238" s="5" t="s">
        <v>197</v>
      </c>
      <c r="F238" s="6">
        <v>503836</v>
      </c>
      <c r="G238" s="7">
        <v>0</v>
      </c>
      <c r="H238" s="7">
        <v>5607454</v>
      </c>
      <c r="J238" s="8" t="s">
        <v>48</v>
      </c>
      <c r="K238" s="8" t="s">
        <v>497</v>
      </c>
    </row>
    <row r="239" spans="1:11" x14ac:dyDescent="0.3">
      <c r="A239" s="8">
        <v>238</v>
      </c>
      <c r="B239" s="4" t="s">
        <v>195</v>
      </c>
      <c r="C239" s="4">
        <v>8</v>
      </c>
      <c r="D239" s="4">
        <v>7083750</v>
      </c>
      <c r="E239" s="5" t="s">
        <v>198</v>
      </c>
      <c r="F239" s="6">
        <v>225710</v>
      </c>
      <c r="G239" s="7">
        <v>0</v>
      </c>
      <c r="H239" s="7">
        <v>5381744</v>
      </c>
      <c r="J239" s="8" t="s">
        <v>48</v>
      </c>
      <c r="K239" s="8" t="s">
        <v>497</v>
      </c>
    </row>
    <row r="240" spans="1:11" x14ac:dyDescent="0.3">
      <c r="A240" s="8">
        <v>239</v>
      </c>
      <c r="B240" s="4" t="s">
        <v>195</v>
      </c>
      <c r="C240" s="4">
        <v>8</v>
      </c>
      <c r="D240" s="4">
        <v>7083779</v>
      </c>
      <c r="E240" s="5" t="s">
        <v>199</v>
      </c>
      <c r="F240" s="6">
        <v>172564</v>
      </c>
      <c r="G240" s="7">
        <v>0</v>
      </c>
      <c r="H240" s="7">
        <v>5209180</v>
      </c>
      <c r="J240" s="8" t="s">
        <v>48</v>
      </c>
      <c r="K240" s="8" t="e">
        <f>VLOOKUP(F240,'[2]Cartola 05-2026'!$J$2:$S$85,10,0)</f>
        <v>#N/A</v>
      </c>
    </row>
    <row r="241" spans="1:11" x14ac:dyDescent="0.3">
      <c r="A241" s="8">
        <v>240</v>
      </c>
      <c r="B241" s="4" t="s">
        <v>195</v>
      </c>
      <c r="C241" s="4">
        <v>8</v>
      </c>
      <c r="D241" s="4">
        <v>7083780</v>
      </c>
      <c r="E241" s="5" t="s">
        <v>200</v>
      </c>
      <c r="F241" s="6">
        <v>991840</v>
      </c>
      <c r="G241" s="7">
        <v>0</v>
      </c>
      <c r="H241" s="7">
        <v>4217340</v>
      </c>
      <c r="J241" s="8" t="s">
        <v>48</v>
      </c>
      <c r="K241" s="8" t="s">
        <v>497</v>
      </c>
    </row>
    <row r="242" spans="1:11" x14ac:dyDescent="0.3">
      <c r="A242" s="8">
        <v>241</v>
      </c>
      <c r="B242" s="4" t="s">
        <v>195</v>
      </c>
      <c r="C242" s="4">
        <v>8</v>
      </c>
      <c r="D242" s="4">
        <v>7089710</v>
      </c>
      <c r="E242" s="5" t="s">
        <v>201</v>
      </c>
      <c r="F242" s="6">
        <v>60690</v>
      </c>
      <c r="G242" s="7">
        <v>0</v>
      </c>
      <c r="H242" s="7">
        <v>4156650</v>
      </c>
      <c r="J242" s="8" t="s">
        <v>48</v>
      </c>
      <c r="K242" s="8" t="s">
        <v>497</v>
      </c>
    </row>
    <row r="243" spans="1:11" x14ac:dyDescent="0.3">
      <c r="A243" s="8">
        <v>233</v>
      </c>
      <c r="B243" s="4" t="s">
        <v>191</v>
      </c>
      <c r="C243" s="4">
        <v>8</v>
      </c>
      <c r="D243" s="4">
        <v>7001904</v>
      </c>
      <c r="E243" s="5" t="s">
        <v>25</v>
      </c>
      <c r="F243" s="6">
        <v>5000000</v>
      </c>
      <c r="G243" s="7">
        <v>0</v>
      </c>
      <c r="H243" s="7">
        <v>7160866</v>
      </c>
      <c r="J243" s="8" t="s">
        <v>48</v>
      </c>
      <c r="K243" s="8">
        <v>0</v>
      </c>
    </row>
    <row r="244" spans="1:11" x14ac:dyDescent="0.3">
      <c r="A244" s="8">
        <v>243</v>
      </c>
      <c r="B244" s="4" t="s">
        <v>195</v>
      </c>
      <c r="C244" s="4">
        <v>8</v>
      </c>
      <c r="D244" s="4">
        <v>7093825</v>
      </c>
      <c r="E244" s="5" t="s">
        <v>203</v>
      </c>
      <c r="F244" s="6">
        <v>189905</v>
      </c>
      <c r="G244" s="7">
        <v>0</v>
      </c>
      <c r="H244" s="7">
        <v>2966745</v>
      </c>
      <c r="J244" s="8" t="s">
        <v>48</v>
      </c>
      <c r="K244" s="8" t="s">
        <v>497</v>
      </c>
    </row>
    <row r="245" spans="1:11" x14ac:dyDescent="0.3">
      <c r="A245" s="8">
        <v>244</v>
      </c>
      <c r="B245" s="4" t="s">
        <v>195</v>
      </c>
      <c r="C245" s="4">
        <v>8</v>
      </c>
      <c r="D245" s="4">
        <v>7097151</v>
      </c>
      <c r="E245" s="5" t="s">
        <v>204</v>
      </c>
      <c r="F245" s="6">
        <v>445167</v>
      </c>
      <c r="G245" s="7">
        <v>0</v>
      </c>
      <c r="H245" s="7">
        <v>2521578</v>
      </c>
      <c r="J245" s="8" t="s">
        <v>48</v>
      </c>
      <c r="K245" s="8" t="e">
        <f>VLOOKUP(F245,'[2]Cartola 05-2026'!$J$2:$S$85,10,0)</f>
        <v>#N/A</v>
      </c>
    </row>
    <row r="246" spans="1:11" x14ac:dyDescent="0.3">
      <c r="A246" s="8">
        <v>245</v>
      </c>
      <c r="B246" s="4" t="s">
        <v>205</v>
      </c>
      <c r="C246" s="4">
        <v>8</v>
      </c>
      <c r="D246" s="4">
        <v>4753344</v>
      </c>
      <c r="E246" s="5" t="s">
        <v>206</v>
      </c>
      <c r="F246" s="6">
        <v>349974</v>
      </c>
      <c r="G246" s="7">
        <v>0</v>
      </c>
      <c r="H246" s="7">
        <v>2171604</v>
      </c>
      <c r="J246" s="8" t="s">
        <v>48</v>
      </c>
      <c r="K246" s="8" t="s">
        <v>497</v>
      </c>
    </row>
    <row r="247" spans="1:11" x14ac:dyDescent="0.3">
      <c r="A247" s="8">
        <v>246</v>
      </c>
      <c r="B247" s="4" t="s">
        <v>205</v>
      </c>
      <c r="C247" s="4">
        <v>8</v>
      </c>
      <c r="D247" s="4">
        <v>3420001</v>
      </c>
      <c r="E247" s="5" t="s">
        <v>133</v>
      </c>
      <c r="F247" s="6">
        <v>5213</v>
      </c>
      <c r="G247" s="7">
        <v>0</v>
      </c>
      <c r="H247" s="7">
        <v>2166391</v>
      </c>
      <c r="J247" s="8" t="s">
        <v>48</v>
      </c>
      <c r="K247" s="8" t="e">
        <f>VLOOKUP(F247,'[2]Cartola 05-2026'!$J$2:$S$85,10,0)</f>
        <v>#N/A</v>
      </c>
    </row>
    <row r="248" spans="1:11" x14ac:dyDescent="0.3">
      <c r="A248" s="8">
        <v>247</v>
      </c>
      <c r="B248" s="4" t="s">
        <v>205</v>
      </c>
      <c r="C248" s="4">
        <v>8</v>
      </c>
      <c r="D248" s="4">
        <v>4036217</v>
      </c>
      <c r="E248" s="5" t="s">
        <v>36</v>
      </c>
      <c r="F248" s="6">
        <v>40844</v>
      </c>
      <c r="G248" s="7">
        <v>0</v>
      </c>
      <c r="H248" s="7">
        <v>2125547</v>
      </c>
      <c r="J248" s="8" t="s">
        <v>48</v>
      </c>
      <c r="K248" s="8" t="e">
        <f>VLOOKUP(F248,'[2]Cartola 05-2026'!$J$2:$S$85,10,0)</f>
        <v>#N/A</v>
      </c>
    </row>
    <row r="249" spans="1:11" x14ac:dyDescent="0.3">
      <c r="A249" s="8">
        <v>242</v>
      </c>
      <c r="B249" s="4" t="s">
        <v>195</v>
      </c>
      <c r="C249" s="4">
        <v>8</v>
      </c>
      <c r="D249" s="4">
        <v>7091408</v>
      </c>
      <c r="E249" s="5" t="s">
        <v>202</v>
      </c>
      <c r="F249" s="6">
        <v>1000000</v>
      </c>
      <c r="G249" s="7">
        <v>0</v>
      </c>
      <c r="H249" s="7">
        <v>3156650</v>
      </c>
      <c r="J249" s="8" t="s">
        <v>48</v>
      </c>
      <c r="K249" s="8" t="s">
        <v>497</v>
      </c>
    </row>
    <row r="250" spans="1:11" x14ac:dyDescent="0.3">
      <c r="A250" s="8">
        <v>248</v>
      </c>
      <c r="B250" s="4" t="s">
        <v>207</v>
      </c>
      <c r="C250" s="4">
        <v>8</v>
      </c>
      <c r="D250" s="4">
        <v>1077</v>
      </c>
      <c r="E250" s="5" t="s">
        <v>12</v>
      </c>
      <c r="F250" s="6">
        <v>0</v>
      </c>
      <c r="G250" s="7">
        <v>7000000</v>
      </c>
      <c r="H250" s="7">
        <v>9125547</v>
      </c>
      <c r="J250" s="8" t="s">
        <v>13</v>
      </c>
      <c r="K250" s="8">
        <v>0</v>
      </c>
    </row>
    <row r="251" spans="1:11" x14ac:dyDescent="0.3">
      <c r="A251" s="8">
        <v>250</v>
      </c>
      <c r="B251" s="4" t="s">
        <v>207</v>
      </c>
      <c r="C251" s="4">
        <v>8</v>
      </c>
      <c r="D251" s="4">
        <v>4148322</v>
      </c>
      <c r="E251" s="5" t="s">
        <v>209</v>
      </c>
      <c r="F251" s="6">
        <v>8500</v>
      </c>
      <c r="G251" s="7">
        <v>0</v>
      </c>
      <c r="H251" s="7">
        <v>9057047</v>
      </c>
      <c r="J251" s="8" t="s">
        <v>48</v>
      </c>
      <c r="K251" s="8" t="e">
        <f>VLOOKUP(F251,'[2]Cartola 05-2026'!$J$2:$S$85,10,0)</f>
        <v>#N/A</v>
      </c>
    </row>
    <row r="252" spans="1:11" x14ac:dyDescent="0.3">
      <c r="A252" s="8">
        <v>251</v>
      </c>
      <c r="B252" s="4" t="s">
        <v>207</v>
      </c>
      <c r="C252" s="4">
        <v>8</v>
      </c>
      <c r="D252" s="4">
        <v>7008022</v>
      </c>
      <c r="E252" s="5" t="s">
        <v>210</v>
      </c>
      <c r="F252" s="6">
        <v>1146275</v>
      </c>
      <c r="G252" s="7">
        <v>0</v>
      </c>
      <c r="H252" s="7">
        <v>7910772</v>
      </c>
      <c r="J252" s="8" t="s">
        <v>48</v>
      </c>
      <c r="K252" s="8" t="str">
        <f>VLOOKUP(F252,'[1]121-CFT'!$I$6:$N$43,6,0)</f>
        <v>CFT</v>
      </c>
    </row>
    <row r="253" spans="1:11" x14ac:dyDescent="0.3">
      <c r="A253" s="8">
        <v>252</v>
      </c>
      <c r="B253" s="4" t="s">
        <v>207</v>
      </c>
      <c r="C253" s="4">
        <v>8</v>
      </c>
      <c r="D253" s="4">
        <v>7008021</v>
      </c>
      <c r="E253" s="5" t="s">
        <v>211</v>
      </c>
      <c r="F253" s="6">
        <v>645619</v>
      </c>
      <c r="G253" s="7">
        <v>0</v>
      </c>
      <c r="H253" s="7">
        <v>7265153</v>
      </c>
      <c r="J253" s="8" t="s">
        <v>48</v>
      </c>
      <c r="K253" s="8" t="str">
        <f>VLOOKUP(F253,'[1]121-CFT'!$I$6:$N$43,6,0)</f>
        <v>CFT</v>
      </c>
    </row>
    <row r="254" spans="1:11" x14ac:dyDescent="0.3">
      <c r="A254" s="8">
        <v>253</v>
      </c>
      <c r="B254" s="4" t="s">
        <v>207</v>
      </c>
      <c r="C254" s="4">
        <v>8</v>
      </c>
      <c r="D254" s="4">
        <v>7011353</v>
      </c>
      <c r="E254" s="5" t="s">
        <v>212</v>
      </c>
      <c r="F254" s="6">
        <v>840000</v>
      </c>
      <c r="G254" s="7">
        <v>0</v>
      </c>
      <c r="H254" s="7">
        <v>6425153</v>
      </c>
      <c r="J254" s="8" t="s">
        <v>48</v>
      </c>
      <c r="K254" s="8" t="str">
        <f>VLOOKUP(F254,'[1]121-CFT'!$I$6:$N$43,6,0)</f>
        <v>CFT</v>
      </c>
    </row>
    <row r="255" spans="1:11" x14ac:dyDescent="0.3">
      <c r="A255" s="8">
        <v>254</v>
      </c>
      <c r="B255" s="4" t="s">
        <v>207</v>
      </c>
      <c r="C255" s="4">
        <v>8</v>
      </c>
      <c r="D255" s="4">
        <v>7009765</v>
      </c>
      <c r="E255" s="5" t="s">
        <v>213</v>
      </c>
      <c r="F255" s="6">
        <v>59500</v>
      </c>
      <c r="G255" s="7">
        <v>0</v>
      </c>
      <c r="H255" s="7">
        <v>6365653</v>
      </c>
      <c r="J255" s="8" t="s">
        <v>48</v>
      </c>
      <c r="K255" s="8" t="e">
        <f>VLOOKUP(F255,'[2]Cartola 05-2026'!$J$2:$S$85,10,0)</f>
        <v>#N/A</v>
      </c>
    </row>
    <row r="256" spans="1:11" x14ac:dyDescent="0.3">
      <c r="A256" s="8">
        <v>255</v>
      </c>
      <c r="B256" s="4" t="s">
        <v>207</v>
      </c>
      <c r="C256" s="4">
        <v>8</v>
      </c>
      <c r="D256" s="4">
        <v>7008018</v>
      </c>
      <c r="E256" s="5" t="s">
        <v>169</v>
      </c>
      <c r="F256" s="6">
        <v>2150925</v>
      </c>
      <c r="G256" s="7">
        <v>0</v>
      </c>
      <c r="H256" s="7">
        <v>4214728</v>
      </c>
      <c r="J256" s="8" t="s">
        <v>48</v>
      </c>
      <c r="K256" s="8" t="e">
        <f>VLOOKUP(F256,'[2]Cartola 05-2026'!$J$2:$S$85,10,0)</f>
        <v>#N/A</v>
      </c>
    </row>
    <row r="257" spans="1:11" x14ac:dyDescent="0.3">
      <c r="A257" s="8">
        <v>256</v>
      </c>
      <c r="B257" s="4" t="s">
        <v>207</v>
      </c>
      <c r="C257" s="4">
        <v>8</v>
      </c>
      <c r="D257" s="4">
        <v>7008017</v>
      </c>
      <c r="E257" s="5" t="s">
        <v>214</v>
      </c>
      <c r="F257" s="6">
        <v>1194593</v>
      </c>
      <c r="G257" s="7">
        <v>0</v>
      </c>
      <c r="H257" s="7">
        <v>3020135</v>
      </c>
      <c r="J257" s="8" t="s">
        <v>48</v>
      </c>
      <c r="K257" s="8" t="str">
        <f>VLOOKUP(F257,'[1]121-CFT'!$I$6:$N$43,6,0)</f>
        <v>CFT</v>
      </c>
    </row>
    <row r="258" spans="1:11" x14ac:dyDescent="0.3">
      <c r="A258" s="8">
        <v>257</v>
      </c>
      <c r="B258" s="4" t="s">
        <v>207</v>
      </c>
      <c r="C258" s="4">
        <v>8</v>
      </c>
      <c r="D258" s="4">
        <v>7092529</v>
      </c>
      <c r="E258" s="5" t="s">
        <v>215</v>
      </c>
      <c r="F258" s="6">
        <v>800000</v>
      </c>
      <c r="G258" s="7">
        <v>0</v>
      </c>
      <c r="H258" s="7">
        <v>2220135</v>
      </c>
      <c r="J258" s="8" t="s">
        <v>48</v>
      </c>
      <c r="K258" s="8" t="e">
        <f>VLOOKUP(F258,'[2]Cartola 05-2026'!$J$2:$S$85,10,0)</f>
        <v>#N/A</v>
      </c>
    </row>
    <row r="259" spans="1:11" x14ac:dyDescent="0.3">
      <c r="A259" s="8">
        <v>258</v>
      </c>
      <c r="B259" s="4" t="s">
        <v>207</v>
      </c>
      <c r="C259" s="4">
        <v>8</v>
      </c>
      <c r="D259" s="4">
        <v>4845129</v>
      </c>
      <c r="E259" s="5" t="s">
        <v>216</v>
      </c>
      <c r="F259" s="6">
        <v>36106</v>
      </c>
      <c r="G259" s="7">
        <v>0</v>
      </c>
      <c r="H259" s="7">
        <v>2184029</v>
      </c>
      <c r="J259" s="8" t="s">
        <v>48</v>
      </c>
      <c r="K259" s="8" t="e">
        <f>VLOOKUP(F259,'[2]Cartola 05-2026'!$J$2:$S$85,10,0)</f>
        <v>#N/A</v>
      </c>
    </row>
    <row r="260" spans="1:11" x14ac:dyDescent="0.3">
      <c r="A260" s="8">
        <v>259</v>
      </c>
      <c r="B260" s="4" t="s">
        <v>207</v>
      </c>
      <c r="C260" s="4">
        <v>8</v>
      </c>
      <c r="D260" s="4">
        <v>1338541</v>
      </c>
      <c r="E260" s="5" t="s">
        <v>180</v>
      </c>
      <c r="F260" s="6">
        <v>3800</v>
      </c>
      <c r="G260" s="7">
        <v>0</v>
      </c>
      <c r="H260" s="7">
        <v>2180229</v>
      </c>
      <c r="J260" s="8" t="s">
        <v>48</v>
      </c>
      <c r="K260" s="8" t="e">
        <f>VLOOKUP(F260,'[2]Cartola 05-2026'!$J$2:$S$85,10,0)</f>
        <v>#N/A</v>
      </c>
    </row>
    <row r="261" spans="1:11" x14ac:dyDescent="0.3">
      <c r="A261" s="8">
        <v>260</v>
      </c>
      <c r="B261" s="4" t="s">
        <v>217</v>
      </c>
      <c r="C261" s="4">
        <v>8</v>
      </c>
      <c r="D261" s="4">
        <v>1338541</v>
      </c>
      <c r="E261" s="5" t="s">
        <v>180</v>
      </c>
      <c r="F261" s="6">
        <v>3800</v>
      </c>
      <c r="G261" s="7">
        <v>0</v>
      </c>
      <c r="H261" s="7">
        <v>2176429</v>
      </c>
      <c r="J261" s="8" t="s">
        <v>48</v>
      </c>
      <c r="K261" s="8" t="e">
        <f>VLOOKUP(F261,'[2]Cartola 05-2026'!$J$2:$S$85,10,0)</f>
        <v>#N/A</v>
      </c>
    </row>
    <row r="262" spans="1:11" x14ac:dyDescent="0.3">
      <c r="A262" s="8">
        <v>261</v>
      </c>
      <c r="B262" s="4" t="s">
        <v>217</v>
      </c>
      <c r="C262" s="4">
        <v>8</v>
      </c>
      <c r="D262" s="4">
        <v>4036217</v>
      </c>
      <c r="E262" s="5" t="s">
        <v>36</v>
      </c>
      <c r="F262" s="6">
        <v>34938</v>
      </c>
      <c r="G262" s="7">
        <v>0</v>
      </c>
      <c r="H262" s="7">
        <v>2141491</v>
      </c>
      <c r="J262" s="8" t="s">
        <v>48</v>
      </c>
      <c r="K262" s="8" t="e">
        <f>VLOOKUP(F262,'[2]Cartola 05-2026'!$J$2:$S$85,10,0)</f>
        <v>#N/A</v>
      </c>
    </row>
    <row r="263" spans="1:11" x14ac:dyDescent="0.3">
      <c r="A263" s="8">
        <v>262</v>
      </c>
      <c r="B263" s="4" t="s">
        <v>217</v>
      </c>
      <c r="C263" s="4">
        <v>8</v>
      </c>
      <c r="D263" s="4">
        <v>3871635</v>
      </c>
      <c r="E263" s="5" t="s">
        <v>218</v>
      </c>
      <c r="F263" s="6">
        <v>7150</v>
      </c>
      <c r="G263" s="7">
        <v>0</v>
      </c>
      <c r="H263" s="7">
        <v>2134341</v>
      </c>
      <c r="J263" s="8" t="s">
        <v>48</v>
      </c>
      <c r="K263" s="8" t="e">
        <f>VLOOKUP(F263,'[2]Cartola 05-2026'!$J$2:$S$85,10,0)</f>
        <v>#N/A</v>
      </c>
    </row>
    <row r="264" spans="1:11" x14ac:dyDescent="0.3">
      <c r="A264" s="8">
        <v>263</v>
      </c>
      <c r="B264" s="4" t="s">
        <v>217</v>
      </c>
      <c r="C264" s="4">
        <v>8</v>
      </c>
      <c r="D264" s="4">
        <v>1110156</v>
      </c>
      <c r="E264" s="5" t="s">
        <v>63</v>
      </c>
      <c r="F264" s="6">
        <v>179400</v>
      </c>
      <c r="G264" s="7">
        <v>0</v>
      </c>
      <c r="H264" s="7">
        <v>1954941</v>
      </c>
      <c r="J264" s="8" t="s">
        <v>48</v>
      </c>
      <c r="K264" s="8" t="e">
        <f>VLOOKUP(F264,'[2]Cartola 05-2026'!$J$2:$S$85,10,0)</f>
        <v>#N/A</v>
      </c>
    </row>
    <row r="265" spans="1:11" x14ac:dyDescent="0.3">
      <c r="A265" s="8">
        <v>264</v>
      </c>
      <c r="B265" s="4" t="s">
        <v>217</v>
      </c>
      <c r="C265" s="4">
        <v>9</v>
      </c>
      <c r="D265" s="4">
        <v>1458</v>
      </c>
      <c r="E265" s="5" t="s">
        <v>26</v>
      </c>
      <c r="F265" s="6">
        <v>5305</v>
      </c>
      <c r="G265" s="7">
        <v>0</v>
      </c>
      <c r="H265" s="7">
        <v>1949636</v>
      </c>
      <c r="J265" s="8" t="s">
        <v>48</v>
      </c>
      <c r="K265" s="8" t="e">
        <f>VLOOKUP(F265,'[2]Cartola 05-2026'!$J$2:$S$85,10,0)</f>
        <v>#N/A</v>
      </c>
    </row>
    <row r="266" spans="1:11" x14ac:dyDescent="0.3">
      <c r="A266" s="8">
        <v>265</v>
      </c>
      <c r="B266" s="4" t="s">
        <v>217</v>
      </c>
      <c r="C266" s="4">
        <v>9</v>
      </c>
      <c r="D266" s="4">
        <v>7084857</v>
      </c>
      <c r="E266" s="5" t="s">
        <v>23</v>
      </c>
      <c r="F266" s="6">
        <v>76772</v>
      </c>
      <c r="G266" s="7">
        <v>0</v>
      </c>
      <c r="H266" s="7">
        <v>1872864</v>
      </c>
      <c r="J266" s="8" t="s">
        <v>48</v>
      </c>
      <c r="K266" s="8" t="e">
        <f>VLOOKUP(F266,'[2]Cartola 05-2026'!$J$2:$S$85,10,0)</f>
        <v>#N/A</v>
      </c>
    </row>
    <row r="267" spans="1:11" x14ac:dyDescent="0.3">
      <c r="A267" s="8">
        <v>266</v>
      </c>
      <c r="B267" s="4" t="s">
        <v>217</v>
      </c>
      <c r="C267" s="4">
        <v>9</v>
      </c>
      <c r="D267" s="4">
        <v>7084858</v>
      </c>
      <c r="E267" s="5" t="s">
        <v>219</v>
      </c>
      <c r="F267" s="6">
        <v>100436</v>
      </c>
      <c r="G267" s="7">
        <v>0</v>
      </c>
      <c r="H267" s="7">
        <v>1772428</v>
      </c>
      <c r="J267" s="8" t="s">
        <v>48</v>
      </c>
      <c r="K267" s="8" t="e">
        <f>VLOOKUP(F267,'[2]Cartola 05-2026'!$J$2:$S$85,10,0)</f>
        <v>#N/A</v>
      </c>
    </row>
    <row r="268" spans="1:11" x14ac:dyDescent="0.3">
      <c r="A268" s="8">
        <v>249</v>
      </c>
      <c r="B268" s="4" t="s">
        <v>207</v>
      </c>
      <c r="C268" s="4">
        <v>8</v>
      </c>
      <c r="D268" s="4"/>
      <c r="E268" s="5" t="s">
        <v>208</v>
      </c>
      <c r="F268" s="6">
        <v>60000</v>
      </c>
      <c r="G268" s="7">
        <v>0</v>
      </c>
      <c r="H268" s="7">
        <v>9065547</v>
      </c>
      <c r="J268" s="8" t="s">
        <v>54</v>
      </c>
      <c r="K268" s="8">
        <v>0</v>
      </c>
    </row>
    <row r="269" spans="1:11" x14ac:dyDescent="0.3">
      <c r="A269" s="8">
        <v>268</v>
      </c>
      <c r="B269" s="4" t="s">
        <v>220</v>
      </c>
      <c r="C269" s="4">
        <v>9</v>
      </c>
      <c r="D269" s="4">
        <v>4270765</v>
      </c>
      <c r="E269" s="5" t="s">
        <v>177</v>
      </c>
      <c r="F269" s="6">
        <v>26600</v>
      </c>
      <c r="G269" s="7">
        <v>0</v>
      </c>
      <c r="H269" s="7">
        <v>1715828</v>
      </c>
      <c r="J269" s="8" t="s">
        <v>48</v>
      </c>
      <c r="K269" s="8" t="e">
        <f>VLOOKUP(F269,'[2]Cartola 05-2026'!$J$2:$S$85,10,0)</f>
        <v>#N/A</v>
      </c>
    </row>
    <row r="270" spans="1:11" x14ac:dyDescent="0.3">
      <c r="A270" s="8">
        <v>269</v>
      </c>
      <c r="B270" s="4" t="s">
        <v>220</v>
      </c>
      <c r="C270" s="4">
        <v>9</v>
      </c>
      <c r="D270" s="4">
        <v>4036217</v>
      </c>
      <c r="E270" s="5" t="s">
        <v>36</v>
      </c>
      <c r="F270" s="6">
        <v>19409</v>
      </c>
      <c r="G270" s="7">
        <v>0</v>
      </c>
      <c r="H270" s="7">
        <v>1696419</v>
      </c>
      <c r="J270" s="8" t="s">
        <v>48</v>
      </c>
      <c r="K270" s="8" t="e">
        <f>VLOOKUP(F270,'[2]Cartola 05-2026'!$J$2:$S$85,10,0)</f>
        <v>#N/A</v>
      </c>
    </row>
    <row r="271" spans="1:11" x14ac:dyDescent="0.3">
      <c r="A271" s="8">
        <v>267</v>
      </c>
      <c r="B271" s="4" t="s">
        <v>220</v>
      </c>
      <c r="C271" s="4">
        <v>9</v>
      </c>
      <c r="D271" s="4"/>
      <c r="E271" s="5" t="s">
        <v>221</v>
      </c>
      <c r="F271" s="6">
        <v>30000</v>
      </c>
      <c r="G271" s="7">
        <v>0</v>
      </c>
      <c r="H271" s="7">
        <v>1742428</v>
      </c>
      <c r="J271" s="8" t="s">
        <v>54</v>
      </c>
      <c r="K271" s="8">
        <v>0</v>
      </c>
    </row>
    <row r="272" spans="1:11" x14ac:dyDescent="0.3">
      <c r="A272" s="8">
        <v>271</v>
      </c>
      <c r="B272" s="4" t="s">
        <v>222</v>
      </c>
      <c r="C272" s="4">
        <v>9</v>
      </c>
      <c r="D272" s="4">
        <v>7082038</v>
      </c>
      <c r="E272" s="5" t="s">
        <v>223</v>
      </c>
      <c r="F272" s="6">
        <v>214200</v>
      </c>
      <c r="G272" s="7">
        <v>0</v>
      </c>
      <c r="H272" s="7">
        <v>8482219</v>
      </c>
      <c r="J272" s="8" t="s">
        <v>48</v>
      </c>
      <c r="K272" s="8" t="e">
        <f>VLOOKUP(F272,'[2]Cartola 05-2026'!$J$2:$S$85,10,0)</f>
        <v>#N/A</v>
      </c>
    </row>
    <row r="273" spans="1:11" x14ac:dyDescent="0.3">
      <c r="A273" s="8">
        <v>272</v>
      </c>
      <c r="B273" s="4" t="s">
        <v>222</v>
      </c>
      <c r="C273" s="4">
        <v>9</v>
      </c>
      <c r="D273" s="4">
        <v>7072939</v>
      </c>
      <c r="E273" s="5" t="s">
        <v>199</v>
      </c>
      <c r="F273" s="6">
        <v>971796</v>
      </c>
      <c r="G273" s="7">
        <v>0</v>
      </c>
      <c r="H273" s="7">
        <v>7510423</v>
      </c>
      <c r="J273" s="8" t="s">
        <v>48</v>
      </c>
      <c r="K273" s="8" t="str">
        <f>VLOOKUP(F273,'[1]121-CFT'!$I$6:$N$43,6,0)</f>
        <v>CFT</v>
      </c>
    </row>
    <row r="274" spans="1:11" x14ac:dyDescent="0.3">
      <c r="A274" s="8">
        <v>273</v>
      </c>
      <c r="B274" s="4" t="s">
        <v>222</v>
      </c>
      <c r="C274" s="4">
        <v>9</v>
      </c>
      <c r="D274" s="4">
        <v>7072940</v>
      </c>
      <c r="E274" s="5" t="s">
        <v>224</v>
      </c>
      <c r="F274" s="6">
        <v>544000</v>
      </c>
      <c r="G274" s="7">
        <v>0</v>
      </c>
      <c r="H274" s="7">
        <v>6966423</v>
      </c>
      <c r="J274" s="8" t="s">
        <v>48</v>
      </c>
      <c r="K274" s="8" t="e">
        <f>VLOOKUP(F274,'[2]Cartola 05-2026'!$J$2:$S$85,10,0)</f>
        <v>#N/A</v>
      </c>
    </row>
    <row r="275" spans="1:11" x14ac:dyDescent="0.3">
      <c r="A275" s="8">
        <v>270</v>
      </c>
      <c r="B275" s="4" t="s">
        <v>222</v>
      </c>
      <c r="C275" s="4">
        <v>9</v>
      </c>
      <c r="D275" s="4">
        <v>1077</v>
      </c>
      <c r="E275" s="5" t="s">
        <v>12</v>
      </c>
      <c r="F275" s="6">
        <v>0</v>
      </c>
      <c r="G275" s="7">
        <v>7000000</v>
      </c>
      <c r="H275" s="7">
        <v>8696419</v>
      </c>
      <c r="J275" s="8" t="s">
        <v>13</v>
      </c>
      <c r="K275" s="8">
        <v>0</v>
      </c>
    </row>
    <row r="276" spans="1:11" x14ac:dyDescent="0.3">
      <c r="A276" s="8">
        <v>275</v>
      </c>
      <c r="B276" s="4" t="s">
        <v>222</v>
      </c>
      <c r="C276" s="4">
        <v>9</v>
      </c>
      <c r="D276" s="4">
        <v>1086290</v>
      </c>
      <c r="E276" s="5" t="s">
        <v>226</v>
      </c>
      <c r="F276" s="6">
        <v>18380</v>
      </c>
      <c r="G276" s="7">
        <v>0</v>
      </c>
      <c r="H276" s="7">
        <v>6888043</v>
      </c>
      <c r="J276" s="8" t="s">
        <v>48</v>
      </c>
      <c r="K276" s="8" t="e">
        <f>VLOOKUP(F276,'[2]Cartola 05-2026'!$J$2:$S$85,10,0)</f>
        <v>#N/A</v>
      </c>
    </row>
    <row r="277" spans="1:11" x14ac:dyDescent="0.3">
      <c r="A277" s="8">
        <v>276</v>
      </c>
      <c r="B277" s="4" t="s">
        <v>222</v>
      </c>
      <c r="C277" s="4">
        <v>9</v>
      </c>
      <c r="D277" s="4">
        <v>2292828</v>
      </c>
      <c r="E277" s="5" t="s">
        <v>59</v>
      </c>
      <c r="F277" s="6">
        <v>22500</v>
      </c>
      <c r="G277" s="7">
        <v>0</v>
      </c>
      <c r="H277" s="7">
        <v>6865543</v>
      </c>
      <c r="J277" s="8" t="s">
        <v>48</v>
      </c>
      <c r="K277" s="8" t="e">
        <f>VLOOKUP(F277,'[2]Cartola 05-2026'!$J$2:$S$85,10,0)</f>
        <v>#N/A</v>
      </c>
    </row>
    <row r="278" spans="1:11" x14ac:dyDescent="0.3">
      <c r="A278" s="8">
        <v>277</v>
      </c>
      <c r="B278" s="4" t="s">
        <v>222</v>
      </c>
      <c r="C278" s="4">
        <v>9</v>
      </c>
      <c r="D278" s="4">
        <v>2968424</v>
      </c>
      <c r="E278" s="5" t="s">
        <v>144</v>
      </c>
      <c r="F278" s="6">
        <v>55999</v>
      </c>
      <c r="G278" s="7">
        <v>0</v>
      </c>
      <c r="H278" s="7">
        <v>6809544</v>
      </c>
      <c r="J278" s="8" t="s">
        <v>48</v>
      </c>
      <c r="K278" s="8" t="e">
        <f>VLOOKUP(F278,'[2]Cartola 05-2026'!$J$2:$S$85,10,0)</f>
        <v>#N/A</v>
      </c>
    </row>
    <row r="279" spans="1:11" x14ac:dyDescent="0.3">
      <c r="A279" s="8">
        <v>278</v>
      </c>
      <c r="B279" s="4" t="s">
        <v>222</v>
      </c>
      <c r="C279" s="4">
        <v>9</v>
      </c>
      <c r="D279" s="4">
        <v>3862549</v>
      </c>
      <c r="E279" s="5" t="s">
        <v>14</v>
      </c>
      <c r="F279" s="6">
        <v>9000</v>
      </c>
      <c r="G279" s="7">
        <v>0</v>
      </c>
      <c r="H279" s="7">
        <v>6800544</v>
      </c>
      <c r="J279" s="8" t="s">
        <v>48</v>
      </c>
      <c r="K279" s="8" t="e">
        <f>VLOOKUP(F279,'[2]Cartola 05-2026'!$J$2:$S$85,10,0)</f>
        <v>#N/A</v>
      </c>
    </row>
    <row r="280" spans="1:11" x14ac:dyDescent="0.3">
      <c r="A280" s="8">
        <v>279</v>
      </c>
      <c r="B280" s="4" t="s">
        <v>222</v>
      </c>
      <c r="C280" s="4">
        <v>9</v>
      </c>
      <c r="D280" s="4">
        <v>4036217</v>
      </c>
      <c r="E280" s="5" t="s">
        <v>36</v>
      </c>
      <c r="F280" s="6">
        <v>39992</v>
      </c>
      <c r="G280" s="7">
        <v>0</v>
      </c>
      <c r="H280" s="7">
        <v>6760552</v>
      </c>
      <c r="J280" s="8" t="s">
        <v>48</v>
      </c>
      <c r="K280" s="8" t="e">
        <f>VLOOKUP(F280,'[2]Cartola 05-2026'!$J$2:$S$85,10,0)</f>
        <v>#N/A</v>
      </c>
    </row>
    <row r="281" spans="1:11" x14ac:dyDescent="0.3">
      <c r="A281" s="8">
        <v>280</v>
      </c>
      <c r="B281" s="4" t="s">
        <v>222</v>
      </c>
      <c r="C281" s="4">
        <v>9</v>
      </c>
      <c r="D281" s="4">
        <v>4520744</v>
      </c>
      <c r="E281" s="5" t="s">
        <v>136</v>
      </c>
      <c r="F281" s="6">
        <v>71450</v>
      </c>
      <c r="G281" s="7">
        <v>0</v>
      </c>
      <c r="H281" s="7">
        <v>6689102</v>
      </c>
      <c r="J281" s="8" t="s">
        <v>48</v>
      </c>
      <c r="K281" s="8" t="e">
        <f>VLOOKUP(F281,'[2]Cartola 05-2026'!$J$2:$S$85,10,0)</f>
        <v>#N/A</v>
      </c>
    </row>
    <row r="282" spans="1:11" x14ac:dyDescent="0.3">
      <c r="A282" s="8">
        <v>281</v>
      </c>
      <c r="B282" s="4" t="s">
        <v>222</v>
      </c>
      <c r="C282" s="4">
        <v>9</v>
      </c>
      <c r="D282" s="4">
        <v>7060921</v>
      </c>
      <c r="E282" s="5" t="s">
        <v>223</v>
      </c>
      <c r="F282" s="6">
        <v>107100</v>
      </c>
      <c r="G282" s="7">
        <v>0</v>
      </c>
      <c r="H282" s="7">
        <v>6582002</v>
      </c>
      <c r="J282" s="8" t="s">
        <v>48</v>
      </c>
      <c r="K282" s="8" t="e">
        <f>VLOOKUP(F282,'[2]Cartola 05-2026'!$J$2:$S$85,10,0)</f>
        <v>#N/A</v>
      </c>
    </row>
    <row r="283" spans="1:11" x14ac:dyDescent="0.3">
      <c r="A283" s="8">
        <v>282</v>
      </c>
      <c r="B283" s="4" t="s">
        <v>227</v>
      </c>
      <c r="C283" s="4">
        <v>9</v>
      </c>
      <c r="D283" s="4">
        <v>7073830</v>
      </c>
      <c r="E283" s="5" t="s">
        <v>175</v>
      </c>
      <c r="F283" s="6">
        <v>839631</v>
      </c>
      <c r="G283" s="7">
        <v>0</v>
      </c>
      <c r="H283" s="7">
        <v>5742371</v>
      </c>
      <c r="J283" s="8" t="s">
        <v>176</v>
      </c>
      <c r="K283" s="8" t="e">
        <f>VLOOKUP(F283,'[2]Cartola 05-2026'!$J$2:$S$85,10,0)</f>
        <v>#N/A</v>
      </c>
    </row>
    <row r="284" spans="1:11" x14ac:dyDescent="0.3">
      <c r="A284" s="8">
        <v>283</v>
      </c>
      <c r="B284" s="4" t="s">
        <v>227</v>
      </c>
      <c r="C284" s="4">
        <v>9</v>
      </c>
      <c r="D284" s="4">
        <v>7073565</v>
      </c>
      <c r="E284" s="5" t="s">
        <v>19</v>
      </c>
      <c r="F284" s="6">
        <v>43481</v>
      </c>
      <c r="G284" s="7">
        <v>0</v>
      </c>
      <c r="H284" s="7">
        <v>5698890</v>
      </c>
      <c r="J284" s="8" t="s">
        <v>48</v>
      </c>
      <c r="K284" s="8" t="e">
        <f>VLOOKUP(F284,'[2]Cartola 05-2026'!$J$2:$S$85,10,0)</f>
        <v>#N/A</v>
      </c>
    </row>
    <row r="285" spans="1:11" x14ac:dyDescent="0.3">
      <c r="A285" s="8">
        <v>284</v>
      </c>
      <c r="B285" s="4" t="s">
        <v>228</v>
      </c>
      <c r="C285" s="4">
        <v>9</v>
      </c>
      <c r="D285" s="4">
        <v>7069676</v>
      </c>
      <c r="E285" s="5" t="s">
        <v>19</v>
      </c>
      <c r="F285" s="6">
        <v>59583</v>
      </c>
      <c r="G285" s="7">
        <v>0</v>
      </c>
      <c r="H285" s="7">
        <v>5639307</v>
      </c>
      <c r="J285" s="8" t="s">
        <v>48</v>
      </c>
      <c r="K285" s="8" t="e">
        <f>VLOOKUP(F285,'[2]Cartola 05-2026'!$J$2:$S$85,10,0)</f>
        <v>#N/A</v>
      </c>
    </row>
    <row r="286" spans="1:11" x14ac:dyDescent="0.3">
      <c r="A286" s="8">
        <v>285</v>
      </c>
      <c r="B286" s="4" t="s">
        <v>228</v>
      </c>
      <c r="C286" s="4">
        <v>9</v>
      </c>
      <c r="D286" s="4">
        <v>7069674</v>
      </c>
      <c r="E286" s="5" t="s">
        <v>215</v>
      </c>
      <c r="F286" s="6">
        <v>729950</v>
      </c>
      <c r="G286" s="7">
        <v>0</v>
      </c>
      <c r="H286" s="7">
        <v>4909357</v>
      </c>
      <c r="J286" s="8" t="s">
        <v>48</v>
      </c>
      <c r="K286" s="8" t="e">
        <f>VLOOKUP(F286,'[2]Cartola 05-2026'!$J$2:$S$85,10,0)</f>
        <v>#N/A</v>
      </c>
    </row>
    <row r="287" spans="1:11" x14ac:dyDescent="0.3">
      <c r="A287" s="8">
        <v>286</v>
      </c>
      <c r="B287" s="4" t="s">
        <v>228</v>
      </c>
      <c r="C287" s="4">
        <v>9</v>
      </c>
      <c r="D287" s="4">
        <v>7069680</v>
      </c>
      <c r="E287" s="5" t="s">
        <v>229</v>
      </c>
      <c r="F287" s="6">
        <v>210523</v>
      </c>
      <c r="G287" s="7">
        <v>0</v>
      </c>
      <c r="H287" s="7">
        <v>4698834</v>
      </c>
      <c r="J287" s="8" t="s">
        <v>48</v>
      </c>
      <c r="K287" s="8" t="e">
        <f>VLOOKUP(F287,'[2]Cartola 05-2026'!$J$2:$S$85,10,0)</f>
        <v>#N/A</v>
      </c>
    </row>
    <row r="288" spans="1:11" x14ac:dyDescent="0.3">
      <c r="A288" s="8">
        <v>287</v>
      </c>
      <c r="B288" s="4" t="s">
        <v>228</v>
      </c>
      <c r="C288" s="4">
        <v>9</v>
      </c>
      <c r="D288" s="4">
        <v>4036217</v>
      </c>
      <c r="E288" s="5" t="s">
        <v>36</v>
      </c>
      <c r="F288" s="6">
        <v>30164</v>
      </c>
      <c r="G288" s="7">
        <v>0</v>
      </c>
      <c r="H288" s="7">
        <v>4668670</v>
      </c>
      <c r="J288" s="8" t="s">
        <v>48</v>
      </c>
      <c r="K288" s="8" t="e">
        <f>VLOOKUP(F288,'[2]Cartola 05-2026'!$J$2:$S$85,10,0)</f>
        <v>#N/A</v>
      </c>
    </row>
    <row r="289" spans="1:11" x14ac:dyDescent="0.3">
      <c r="A289" s="8">
        <v>288</v>
      </c>
      <c r="B289" s="4" t="s">
        <v>228</v>
      </c>
      <c r="C289" s="4">
        <v>9</v>
      </c>
      <c r="D289" s="4">
        <v>4270765</v>
      </c>
      <c r="E289" s="5" t="s">
        <v>177</v>
      </c>
      <c r="F289" s="6">
        <v>1600</v>
      </c>
      <c r="G289" s="7">
        <v>0</v>
      </c>
      <c r="H289" s="7">
        <v>4667070</v>
      </c>
      <c r="J289" s="8" t="s">
        <v>48</v>
      </c>
      <c r="K289" s="8" t="e">
        <f>VLOOKUP(F289,'[2]Cartola 05-2026'!$J$2:$S$85,10,0)</f>
        <v>#N/A</v>
      </c>
    </row>
    <row r="290" spans="1:11" x14ac:dyDescent="0.3">
      <c r="A290" s="8">
        <v>289</v>
      </c>
      <c r="B290" s="4" t="s">
        <v>230</v>
      </c>
      <c r="C290" s="4">
        <v>9</v>
      </c>
      <c r="D290" s="4">
        <v>7097231</v>
      </c>
      <c r="E290" s="5" t="s">
        <v>231</v>
      </c>
      <c r="F290" s="6">
        <v>273700</v>
      </c>
      <c r="G290" s="7">
        <v>0</v>
      </c>
      <c r="H290" s="7">
        <v>4393370</v>
      </c>
      <c r="J290" s="8" t="s">
        <v>48</v>
      </c>
      <c r="K290" s="8" t="e">
        <f>VLOOKUP(F290,'[2]Cartola 05-2026'!$J$2:$S$85,10,0)</f>
        <v>#N/A</v>
      </c>
    </row>
    <row r="291" spans="1:11" x14ac:dyDescent="0.3">
      <c r="A291" s="8">
        <v>290</v>
      </c>
      <c r="B291" s="4" t="s">
        <v>230</v>
      </c>
      <c r="C291" s="4">
        <v>9</v>
      </c>
      <c r="D291" s="4">
        <v>7098856</v>
      </c>
      <c r="E291" s="5" t="s">
        <v>232</v>
      </c>
      <c r="F291" s="6">
        <v>35700</v>
      </c>
      <c r="G291" s="7">
        <v>0</v>
      </c>
      <c r="H291" s="7">
        <v>4357670</v>
      </c>
      <c r="J291" s="8" t="s">
        <v>48</v>
      </c>
      <c r="K291" s="8" t="e">
        <f>VLOOKUP(F291,'[2]Cartola 05-2026'!$J$2:$S$85,10,0)</f>
        <v>#N/A</v>
      </c>
    </row>
    <row r="292" spans="1:11" x14ac:dyDescent="0.3">
      <c r="A292" s="8">
        <v>291</v>
      </c>
      <c r="B292" s="4" t="s">
        <v>233</v>
      </c>
      <c r="C292" s="4">
        <v>9</v>
      </c>
      <c r="D292" s="4">
        <v>1086273</v>
      </c>
      <c r="E292" s="5" t="s">
        <v>126</v>
      </c>
      <c r="F292" s="6">
        <v>8990</v>
      </c>
      <c r="G292" s="7">
        <v>0</v>
      </c>
      <c r="H292" s="7">
        <v>4348680</v>
      </c>
      <c r="J292" s="8" t="s">
        <v>48</v>
      </c>
      <c r="K292" s="8" t="e">
        <f>VLOOKUP(F292,'[2]Cartola 05-2026'!$J$2:$S$85,10,0)</f>
        <v>#N/A</v>
      </c>
    </row>
    <row r="293" spans="1:11" x14ac:dyDescent="0.3">
      <c r="A293" s="8">
        <v>292</v>
      </c>
      <c r="B293" s="4" t="s">
        <v>233</v>
      </c>
      <c r="C293" s="4">
        <v>9</v>
      </c>
      <c r="D293" s="4">
        <v>3468339</v>
      </c>
      <c r="E293" s="5" t="s">
        <v>58</v>
      </c>
      <c r="F293" s="6">
        <v>12000</v>
      </c>
      <c r="G293" s="7">
        <v>0</v>
      </c>
      <c r="H293" s="7">
        <v>4336680</v>
      </c>
      <c r="J293" s="8" t="s">
        <v>48</v>
      </c>
      <c r="K293" s="8" t="e">
        <f>VLOOKUP(F293,'[2]Cartola 05-2026'!$J$2:$S$85,10,0)</f>
        <v>#N/A</v>
      </c>
    </row>
    <row r="294" spans="1:11" x14ac:dyDescent="0.3">
      <c r="A294" s="8">
        <v>293</v>
      </c>
      <c r="B294" s="4" t="s">
        <v>233</v>
      </c>
      <c r="C294" s="4">
        <v>9</v>
      </c>
      <c r="D294" s="4">
        <v>7057889</v>
      </c>
      <c r="E294" s="5" t="s">
        <v>234</v>
      </c>
      <c r="F294" s="6">
        <v>15750</v>
      </c>
      <c r="G294" s="7">
        <v>0</v>
      </c>
      <c r="H294" s="7">
        <v>4320930</v>
      </c>
      <c r="J294" s="8" t="s">
        <v>48</v>
      </c>
      <c r="K294" s="8" t="e">
        <f>VLOOKUP(F294,'[2]Cartola 05-2026'!$J$2:$S$85,10,0)</f>
        <v>#N/A</v>
      </c>
    </row>
    <row r="295" spans="1:11" x14ac:dyDescent="0.3">
      <c r="A295" s="8">
        <v>294</v>
      </c>
      <c r="B295" s="4" t="s">
        <v>233</v>
      </c>
      <c r="C295" s="4">
        <v>9</v>
      </c>
      <c r="D295" s="4">
        <v>1084259</v>
      </c>
      <c r="E295" s="5" t="s">
        <v>44</v>
      </c>
      <c r="F295" s="6">
        <v>17147</v>
      </c>
      <c r="G295" s="7">
        <v>0</v>
      </c>
      <c r="H295" s="7">
        <v>4303783</v>
      </c>
      <c r="J295" s="8" t="s">
        <v>48</v>
      </c>
      <c r="K295" s="8" t="e">
        <f>VLOOKUP(F295,'[2]Cartola 05-2026'!$J$2:$S$85,10,0)</f>
        <v>#N/A</v>
      </c>
    </row>
    <row r="296" spans="1:11" x14ac:dyDescent="0.3">
      <c r="A296" s="8">
        <v>295</v>
      </c>
      <c r="B296" s="4" t="s">
        <v>233</v>
      </c>
      <c r="C296" s="4">
        <v>9</v>
      </c>
      <c r="D296" s="4">
        <v>7053940</v>
      </c>
      <c r="E296" s="5" t="s">
        <v>235</v>
      </c>
      <c r="F296" s="6">
        <v>1206817</v>
      </c>
      <c r="G296" s="7">
        <v>0</v>
      </c>
      <c r="H296" s="7">
        <v>3096966</v>
      </c>
      <c r="J296" s="8" t="s">
        <v>48</v>
      </c>
      <c r="K296" s="8" t="str">
        <f>VLOOKUP(F296,'[1]121-CFT'!$I$6:$N$43,6,0)</f>
        <v>CFT</v>
      </c>
    </row>
    <row r="297" spans="1:11" x14ac:dyDescent="0.3">
      <c r="A297" s="8">
        <v>296</v>
      </c>
      <c r="B297" s="4" t="s">
        <v>233</v>
      </c>
      <c r="C297" s="4">
        <v>9</v>
      </c>
      <c r="D297" s="4">
        <v>7053941</v>
      </c>
      <c r="E297" s="5" t="s">
        <v>236</v>
      </c>
      <c r="F297" s="6">
        <v>842520</v>
      </c>
      <c r="G297" s="7">
        <v>0</v>
      </c>
      <c r="H297" s="7">
        <v>2254446</v>
      </c>
      <c r="J297" s="8" t="s">
        <v>48</v>
      </c>
      <c r="K297" s="8" t="s">
        <v>501</v>
      </c>
    </row>
    <row r="298" spans="1:11" x14ac:dyDescent="0.3">
      <c r="A298" s="8">
        <v>297</v>
      </c>
      <c r="B298" s="4" t="s">
        <v>237</v>
      </c>
      <c r="C298" s="4">
        <v>9</v>
      </c>
      <c r="D298" s="4">
        <v>3296740</v>
      </c>
      <c r="E298" s="5" t="s">
        <v>238</v>
      </c>
      <c r="F298" s="6">
        <v>190400</v>
      </c>
      <c r="G298" s="7">
        <v>0</v>
      </c>
      <c r="H298" s="7">
        <v>2064046</v>
      </c>
      <c r="J298" s="8" t="s">
        <v>48</v>
      </c>
      <c r="K298" s="8" t="e">
        <f>VLOOKUP(F298,'[2]Cartola 05-2026'!$J$2:$S$85,10,0)</f>
        <v>#N/A</v>
      </c>
    </row>
    <row r="299" spans="1:11" x14ac:dyDescent="0.3">
      <c r="A299" s="8">
        <v>274</v>
      </c>
      <c r="B299" s="4" t="s">
        <v>222</v>
      </c>
      <c r="C299" s="4">
        <v>9</v>
      </c>
      <c r="D299" s="4"/>
      <c r="E299" s="5" t="s">
        <v>225</v>
      </c>
      <c r="F299" s="6">
        <v>60000</v>
      </c>
      <c r="G299" s="7">
        <v>0</v>
      </c>
      <c r="H299" s="7">
        <v>6906423</v>
      </c>
      <c r="J299" s="8" t="s">
        <v>54</v>
      </c>
      <c r="K299" s="8">
        <v>0</v>
      </c>
    </row>
    <row r="300" spans="1:11" x14ac:dyDescent="0.3">
      <c r="A300" s="8">
        <v>299</v>
      </c>
      <c r="B300" s="4" t="s">
        <v>237</v>
      </c>
      <c r="C300" s="4">
        <v>9</v>
      </c>
      <c r="D300" s="4">
        <v>1085729</v>
      </c>
      <c r="E300" s="5" t="s">
        <v>240</v>
      </c>
      <c r="F300" s="6">
        <v>9980</v>
      </c>
      <c r="G300" s="7">
        <v>0</v>
      </c>
      <c r="H300" s="7">
        <v>1984066</v>
      </c>
      <c r="J300" s="8" t="s">
        <v>48</v>
      </c>
      <c r="K300" s="8" t="e">
        <f>VLOOKUP(F300,'[2]Cartola 05-2026'!$J$2:$S$85,10,0)</f>
        <v>#N/A</v>
      </c>
    </row>
    <row r="301" spans="1:11" x14ac:dyDescent="0.3">
      <c r="A301" s="8">
        <v>300</v>
      </c>
      <c r="B301" s="4" t="s">
        <v>237</v>
      </c>
      <c r="C301" s="4">
        <v>10</v>
      </c>
      <c r="D301" s="4">
        <v>4519061</v>
      </c>
      <c r="E301" s="5" t="s">
        <v>50</v>
      </c>
      <c r="F301" s="6">
        <v>1320</v>
      </c>
      <c r="G301" s="7">
        <v>0</v>
      </c>
      <c r="H301" s="7">
        <v>1982746</v>
      </c>
      <c r="J301" s="8" t="s">
        <v>48</v>
      </c>
      <c r="K301" s="8" t="e">
        <f>VLOOKUP(F301,'[2]Cartola 05-2026'!$J$2:$S$85,10,0)</f>
        <v>#N/A</v>
      </c>
    </row>
    <row r="302" spans="1:11" x14ac:dyDescent="0.3">
      <c r="A302" s="8">
        <v>298</v>
      </c>
      <c r="B302" s="4" t="s">
        <v>237</v>
      </c>
      <c r="C302" s="4">
        <v>9</v>
      </c>
      <c r="D302" s="4"/>
      <c r="E302" s="5" t="s">
        <v>239</v>
      </c>
      <c r="F302" s="6">
        <v>70000</v>
      </c>
      <c r="G302" s="7">
        <v>0</v>
      </c>
      <c r="H302" s="7">
        <v>1994046</v>
      </c>
      <c r="J302" s="8" t="s">
        <v>54</v>
      </c>
      <c r="K302" s="8">
        <v>0</v>
      </c>
    </row>
    <row r="303" spans="1:11" x14ac:dyDescent="0.3">
      <c r="A303" s="8">
        <v>302</v>
      </c>
      <c r="B303" s="4" t="s">
        <v>241</v>
      </c>
      <c r="C303" s="4">
        <v>10</v>
      </c>
      <c r="D303" s="4">
        <v>1320502</v>
      </c>
      <c r="E303" s="5" t="s">
        <v>242</v>
      </c>
      <c r="F303" s="6">
        <v>26911</v>
      </c>
      <c r="G303" s="7">
        <v>0</v>
      </c>
      <c r="H303" s="7">
        <v>1916845</v>
      </c>
      <c r="J303" s="8" t="s">
        <v>48</v>
      </c>
      <c r="K303" s="8" t="e">
        <f>VLOOKUP(F303,'[2]Cartola 05-2026'!$J$2:$S$85,10,0)</f>
        <v>#N/A</v>
      </c>
    </row>
    <row r="304" spans="1:11" x14ac:dyDescent="0.3">
      <c r="A304" s="8">
        <v>303</v>
      </c>
      <c r="B304" s="4" t="s">
        <v>241</v>
      </c>
      <c r="C304" s="4">
        <v>10</v>
      </c>
      <c r="D304" s="4">
        <v>1138037</v>
      </c>
      <c r="E304" s="5" t="s">
        <v>243</v>
      </c>
      <c r="F304" s="6">
        <v>67430</v>
      </c>
      <c r="G304" s="7">
        <v>0</v>
      </c>
      <c r="H304" s="7">
        <v>1849415</v>
      </c>
      <c r="J304" s="8" t="s">
        <v>48</v>
      </c>
      <c r="K304" s="8" t="e">
        <f>VLOOKUP(F304,'[2]Cartola 05-2026'!$J$2:$S$85,10,0)</f>
        <v>#N/A</v>
      </c>
    </row>
    <row r="305" spans="1:11" x14ac:dyDescent="0.3">
      <c r="A305" s="8">
        <v>304</v>
      </c>
      <c r="B305" s="4" t="s">
        <v>241</v>
      </c>
      <c r="C305" s="4">
        <v>10</v>
      </c>
      <c r="D305" s="4">
        <v>7082153</v>
      </c>
      <c r="E305" s="5" t="s">
        <v>164</v>
      </c>
      <c r="F305" s="6">
        <v>736748</v>
      </c>
      <c r="G305" s="7">
        <v>0</v>
      </c>
      <c r="H305" s="7">
        <v>1112667</v>
      </c>
      <c r="J305" s="8" t="s">
        <v>48</v>
      </c>
      <c r="K305" s="8" t="str">
        <f>VLOOKUP(F305,'[1]121-CFT'!$I$6:$N$43,6,0)</f>
        <v>CFT</v>
      </c>
    </row>
    <row r="306" spans="1:11" x14ac:dyDescent="0.3">
      <c r="A306" s="8">
        <v>305</v>
      </c>
      <c r="B306" s="4" t="s">
        <v>244</v>
      </c>
      <c r="C306" s="4">
        <v>10</v>
      </c>
      <c r="D306" s="4">
        <v>7002698</v>
      </c>
      <c r="E306" s="5" t="s">
        <v>194</v>
      </c>
      <c r="F306" s="6">
        <v>155733</v>
      </c>
      <c r="G306" s="7">
        <v>0</v>
      </c>
      <c r="H306" s="7">
        <v>956934</v>
      </c>
      <c r="J306" s="8" t="s">
        <v>176</v>
      </c>
      <c r="K306" s="8" t="e">
        <f>VLOOKUP(F306,'[2]Cartola 05-2026'!$J$2:$S$85,10,0)</f>
        <v>#N/A</v>
      </c>
    </row>
    <row r="307" spans="1:11" x14ac:dyDescent="0.3">
      <c r="A307" s="8">
        <v>306</v>
      </c>
      <c r="B307" s="4" t="s">
        <v>244</v>
      </c>
      <c r="C307" s="4">
        <v>10</v>
      </c>
      <c r="D307" s="4">
        <v>7002700</v>
      </c>
      <c r="E307" s="5" t="s">
        <v>194</v>
      </c>
      <c r="F307" s="6">
        <v>170569</v>
      </c>
      <c r="G307" s="7">
        <v>0</v>
      </c>
      <c r="H307" s="7">
        <v>786365</v>
      </c>
      <c r="J307" s="8" t="s">
        <v>176</v>
      </c>
      <c r="K307" s="8" t="e">
        <f>VLOOKUP(F307,'[2]Cartola 05-2026'!$J$2:$S$85,10,0)</f>
        <v>#N/A</v>
      </c>
    </row>
    <row r="308" spans="1:11" x14ac:dyDescent="0.3">
      <c r="A308" s="8">
        <v>307</v>
      </c>
      <c r="B308" s="4" t="s">
        <v>244</v>
      </c>
      <c r="C308" s="4">
        <v>10</v>
      </c>
      <c r="D308" s="4">
        <v>7039018</v>
      </c>
      <c r="E308" s="5" t="s">
        <v>223</v>
      </c>
      <c r="F308" s="6">
        <v>107100</v>
      </c>
      <c r="G308" s="7">
        <v>0</v>
      </c>
      <c r="H308" s="7">
        <v>679265</v>
      </c>
      <c r="J308" s="8" t="s">
        <v>48</v>
      </c>
      <c r="K308" s="8" t="e">
        <f>VLOOKUP(F308,'[2]Cartola 05-2026'!$J$2:$S$85,10,0)</f>
        <v>#N/A</v>
      </c>
    </row>
    <row r="309" spans="1:11" x14ac:dyDescent="0.3">
      <c r="A309" s="8">
        <v>308</v>
      </c>
      <c r="B309" s="4" t="s">
        <v>244</v>
      </c>
      <c r="C309" s="4">
        <v>10</v>
      </c>
      <c r="D309" s="4">
        <v>1103289</v>
      </c>
      <c r="E309" s="5" t="s">
        <v>245</v>
      </c>
      <c r="F309" s="6">
        <v>27161</v>
      </c>
      <c r="G309" s="7">
        <v>0</v>
      </c>
      <c r="H309" s="7">
        <v>652104</v>
      </c>
      <c r="J309" s="8" t="s">
        <v>48</v>
      </c>
      <c r="K309" s="8" t="str">
        <f>VLOOKUP(F309,'[1]121-CFT'!$I$6:$N$43,6,0)</f>
        <v>CFT</v>
      </c>
    </row>
    <row r="310" spans="1:11" x14ac:dyDescent="0.3">
      <c r="A310" s="8">
        <v>309</v>
      </c>
      <c r="B310" s="4" t="s">
        <v>244</v>
      </c>
      <c r="C310" s="4">
        <v>10</v>
      </c>
      <c r="D310" s="4">
        <v>2919050</v>
      </c>
      <c r="E310" s="5" t="s">
        <v>246</v>
      </c>
      <c r="F310" s="6">
        <v>59828</v>
      </c>
      <c r="G310" s="7">
        <v>0</v>
      </c>
      <c r="H310" s="7">
        <v>592276</v>
      </c>
      <c r="J310" s="8" t="s">
        <v>48</v>
      </c>
      <c r="K310" s="8" t="e">
        <f>VLOOKUP(F310,'[2]Cartola 05-2026'!$J$2:$S$85,10,0)</f>
        <v>#N/A</v>
      </c>
    </row>
    <row r="311" spans="1:11" x14ac:dyDescent="0.3">
      <c r="A311" s="8">
        <v>301</v>
      </c>
      <c r="B311" s="4" t="s">
        <v>237</v>
      </c>
      <c r="C311" s="4">
        <v>10</v>
      </c>
      <c r="D311" s="4">
        <v>7001701</v>
      </c>
      <c r="E311" s="5" t="s">
        <v>19</v>
      </c>
      <c r="F311" s="6">
        <v>38990</v>
      </c>
      <c r="G311" s="7">
        <v>0</v>
      </c>
      <c r="H311" s="7">
        <v>1943756</v>
      </c>
      <c r="J311" s="8" t="s">
        <v>48</v>
      </c>
      <c r="K311" s="8">
        <v>0</v>
      </c>
    </row>
    <row r="312" spans="1:11" x14ac:dyDescent="0.3">
      <c r="A312" s="8">
        <v>311</v>
      </c>
      <c r="B312" s="4" t="s">
        <v>247</v>
      </c>
      <c r="C312" s="4">
        <v>10</v>
      </c>
      <c r="D312" s="4">
        <v>1084802</v>
      </c>
      <c r="E312" s="5" t="s">
        <v>248</v>
      </c>
      <c r="F312" s="6">
        <v>226746</v>
      </c>
      <c r="G312" s="7">
        <v>0</v>
      </c>
      <c r="H312" s="7">
        <v>7365530</v>
      </c>
      <c r="J312" s="8" t="s">
        <v>48</v>
      </c>
      <c r="K312" s="8" t="e">
        <f>VLOOKUP(F312,'[2]Cartola 05-2026'!$J$2:$S$85,10,0)</f>
        <v>#N/A</v>
      </c>
    </row>
    <row r="313" spans="1:11" x14ac:dyDescent="0.3">
      <c r="A313" s="8">
        <v>312</v>
      </c>
      <c r="B313" s="4" t="s">
        <v>247</v>
      </c>
      <c r="C313" s="4">
        <v>10</v>
      </c>
      <c r="D313" s="4">
        <v>4516518</v>
      </c>
      <c r="E313" s="5" t="s">
        <v>113</v>
      </c>
      <c r="F313" s="6">
        <v>400</v>
      </c>
      <c r="G313" s="7">
        <v>0</v>
      </c>
      <c r="H313" s="7">
        <v>7365130</v>
      </c>
      <c r="J313" s="8" t="s">
        <v>48</v>
      </c>
      <c r="K313" s="8" t="e">
        <f>VLOOKUP(F313,'[2]Cartola 05-2026'!$J$2:$S$85,10,0)</f>
        <v>#N/A</v>
      </c>
    </row>
    <row r="314" spans="1:11" x14ac:dyDescent="0.3">
      <c r="A314" s="8">
        <v>313</v>
      </c>
      <c r="B314" s="4" t="s">
        <v>247</v>
      </c>
      <c r="C314" s="4">
        <v>10</v>
      </c>
      <c r="D314" s="4">
        <v>4483317</v>
      </c>
      <c r="E314" s="5" t="s">
        <v>50</v>
      </c>
      <c r="F314" s="6">
        <v>50980</v>
      </c>
      <c r="G314" s="7">
        <v>0</v>
      </c>
      <c r="H314" s="7">
        <v>7314150</v>
      </c>
      <c r="J314" s="8" t="s">
        <v>48</v>
      </c>
      <c r="K314" s="8" t="e">
        <f>VLOOKUP(F314,'[2]Cartola 05-2026'!$J$2:$S$85,10,0)</f>
        <v>#N/A</v>
      </c>
    </row>
    <row r="315" spans="1:11" x14ac:dyDescent="0.3">
      <c r="A315" s="8">
        <v>314</v>
      </c>
      <c r="B315" s="4" t="s">
        <v>247</v>
      </c>
      <c r="C315" s="4">
        <v>10</v>
      </c>
      <c r="D315" s="4">
        <v>4709915</v>
      </c>
      <c r="E315" s="5" t="s">
        <v>249</v>
      </c>
      <c r="F315" s="6">
        <v>950</v>
      </c>
      <c r="G315" s="7">
        <v>0</v>
      </c>
      <c r="H315" s="7">
        <v>7313200</v>
      </c>
      <c r="J315" s="8" t="s">
        <v>48</v>
      </c>
      <c r="K315" s="8" t="e">
        <f>VLOOKUP(F315,'[2]Cartola 05-2026'!$J$2:$S$85,10,0)</f>
        <v>#N/A</v>
      </c>
    </row>
    <row r="316" spans="1:11" x14ac:dyDescent="0.3">
      <c r="A316" s="8">
        <v>315</v>
      </c>
      <c r="B316" s="4" t="s">
        <v>247</v>
      </c>
      <c r="C316" s="4">
        <v>10</v>
      </c>
      <c r="D316" s="4">
        <v>7086665</v>
      </c>
      <c r="E316" s="5" t="s">
        <v>250</v>
      </c>
      <c r="F316" s="6">
        <v>4228502</v>
      </c>
      <c r="G316" s="7">
        <v>0</v>
      </c>
      <c r="H316" s="7">
        <v>3084698</v>
      </c>
      <c r="J316" s="8" t="s">
        <v>48</v>
      </c>
      <c r="K316" s="8" t="str">
        <f>VLOOKUP(F316,'[1]141-Coquimbo'!$H$2:$M$26,6,0)</f>
        <v>Coquimbo Muebles</v>
      </c>
    </row>
    <row r="317" spans="1:11" x14ac:dyDescent="0.3">
      <c r="A317" s="8">
        <v>316</v>
      </c>
      <c r="B317" s="4" t="s">
        <v>247</v>
      </c>
      <c r="C317" s="4">
        <v>10</v>
      </c>
      <c r="D317" s="4">
        <v>7085653</v>
      </c>
      <c r="E317" s="5" t="s">
        <v>251</v>
      </c>
      <c r="F317" s="14">
        <v>1000000</v>
      </c>
      <c r="G317" s="7">
        <v>0</v>
      </c>
      <c r="H317" s="7">
        <v>2084698</v>
      </c>
      <c r="J317" s="8" t="s">
        <v>48</v>
      </c>
      <c r="K317" s="9" t="str">
        <f>VLOOKUP(F317,'[1]141-Coquimbo'!$H$2:$M$26,6,0)</f>
        <v>Coquimbo Muebles</v>
      </c>
    </row>
    <row r="318" spans="1:11" x14ac:dyDescent="0.3">
      <c r="A318" s="8">
        <v>317</v>
      </c>
      <c r="B318" s="4" t="s">
        <v>247</v>
      </c>
      <c r="C318" s="4">
        <v>10</v>
      </c>
      <c r="D318" s="4">
        <v>7083296</v>
      </c>
      <c r="E318" s="5" t="s">
        <v>252</v>
      </c>
      <c r="F318" s="6">
        <v>365520</v>
      </c>
      <c r="G318" s="7">
        <v>0</v>
      </c>
      <c r="H318" s="7">
        <v>1719178</v>
      </c>
      <c r="J318" s="8" t="s">
        <v>48</v>
      </c>
      <c r="K318" s="8" t="str">
        <f>VLOOKUP(F318,'[1]141-Coquimbo'!$H$2:$M$26,6,0)</f>
        <v>Coquimbo Muebles</v>
      </c>
    </row>
    <row r="319" spans="1:11" x14ac:dyDescent="0.3">
      <c r="A319" s="8">
        <v>318</v>
      </c>
      <c r="B319" s="4" t="s">
        <v>247</v>
      </c>
      <c r="C319" s="4">
        <v>10</v>
      </c>
      <c r="D319" s="4">
        <v>7086667</v>
      </c>
      <c r="E319" s="5" t="s">
        <v>253</v>
      </c>
      <c r="F319" s="6">
        <v>158900</v>
      </c>
      <c r="G319" s="7">
        <v>0</v>
      </c>
      <c r="H319" s="7">
        <v>1560278</v>
      </c>
      <c r="J319" s="8" t="s">
        <v>48</v>
      </c>
      <c r="K319" s="8" t="e">
        <f>VLOOKUP(F319,'[2]Cartola 05-2026'!$J$2:$S$85,10,0)</f>
        <v>#N/A</v>
      </c>
    </row>
    <row r="320" spans="1:11" x14ac:dyDescent="0.3">
      <c r="A320" s="8">
        <v>310</v>
      </c>
      <c r="B320" s="4" t="s">
        <v>247</v>
      </c>
      <c r="C320" s="4">
        <v>10</v>
      </c>
      <c r="D320" s="4">
        <v>1077</v>
      </c>
      <c r="E320" s="5" t="s">
        <v>12</v>
      </c>
      <c r="F320" s="6">
        <v>0</v>
      </c>
      <c r="G320" s="7">
        <v>7000000</v>
      </c>
      <c r="H320" s="7">
        <v>7592276</v>
      </c>
      <c r="J320" s="8" t="s">
        <v>13</v>
      </c>
      <c r="K320" s="8">
        <v>0</v>
      </c>
    </row>
    <row r="321" spans="1:11" x14ac:dyDescent="0.3">
      <c r="A321" s="8">
        <v>320</v>
      </c>
      <c r="B321" s="4" t="s">
        <v>247</v>
      </c>
      <c r="C321" s="4">
        <v>10</v>
      </c>
      <c r="D321" s="4">
        <v>2292828</v>
      </c>
      <c r="E321" s="5" t="s">
        <v>59</v>
      </c>
      <c r="F321" s="6">
        <v>25000</v>
      </c>
      <c r="G321" s="7">
        <v>0</v>
      </c>
      <c r="H321" s="7">
        <v>8535278</v>
      </c>
      <c r="J321" s="8" t="s">
        <v>48</v>
      </c>
      <c r="K321" s="8" t="e">
        <f>VLOOKUP(F321,'[2]Cartola 05-2026'!$J$2:$S$85,10,0)</f>
        <v>#N/A</v>
      </c>
    </row>
    <row r="322" spans="1:11" x14ac:dyDescent="0.3">
      <c r="A322" s="8">
        <v>321</v>
      </c>
      <c r="B322" s="4" t="s">
        <v>247</v>
      </c>
      <c r="C322" s="4">
        <v>10</v>
      </c>
      <c r="D322" s="4">
        <v>7069691</v>
      </c>
      <c r="E322" s="5" t="s">
        <v>254</v>
      </c>
      <c r="F322" s="6">
        <v>1000</v>
      </c>
      <c r="G322" s="7">
        <v>0</v>
      </c>
      <c r="H322" s="7">
        <v>8534278</v>
      </c>
      <c r="J322" s="8" t="s">
        <v>48</v>
      </c>
      <c r="K322" s="8" t="e">
        <f>VLOOKUP(F322,'[2]Cartola 05-2026'!$J$2:$S$85,10,0)</f>
        <v>#N/A</v>
      </c>
    </row>
    <row r="323" spans="1:11" x14ac:dyDescent="0.3">
      <c r="A323" s="8">
        <v>322</v>
      </c>
      <c r="B323" s="4" t="s">
        <v>247</v>
      </c>
      <c r="C323" s="4">
        <v>10</v>
      </c>
      <c r="D323" s="4">
        <v>7070161</v>
      </c>
      <c r="E323" s="5" t="s">
        <v>255</v>
      </c>
      <c r="F323" s="6">
        <v>537898</v>
      </c>
      <c r="G323" s="7">
        <v>0</v>
      </c>
      <c r="H323" s="7">
        <v>7996380</v>
      </c>
      <c r="J323" s="8" t="s">
        <v>48</v>
      </c>
      <c r="K323" s="8" t="str">
        <f>VLOOKUP(F323,'[1]141-Coquimbo'!$H$2:$M$26,6,0)</f>
        <v>Coquimbo Muebles</v>
      </c>
    </row>
    <row r="324" spans="1:11" x14ac:dyDescent="0.3">
      <c r="A324" s="8">
        <v>323</v>
      </c>
      <c r="B324" s="4" t="s">
        <v>247</v>
      </c>
      <c r="C324" s="4">
        <v>10</v>
      </c>
      <c r="D324" s="4">
        <v>7070769</v>
      </c>
      <c r="E324" s="5" t="s">
        <v>256</v>
      </c>
      <c r="F324" s="6">
        <v>864000</v>
      </c>
      <c r="G324" s="7">
        <v>0</v>
      </c>
      <c r="H324" s="7">
        <v>7132380</v>
      </c>
      <c r="J324" s="8" t="s">
        <v>48</v>
      </c>
      <c r="K324" s="8" t="str">
        <f>VLOOKUP(F324,'[1]141-Coquimbo'!$H$2:$M$26,6,0)</f>
        <v>Coquimbo Muebles</v>
      </c>
    </row>
    <row r="325" spans="1:11" x14ac:dyDescent="0.3">
      <c r="A325" s="8">
        <v>324</v>
      </c>
      <c r="B325" s="4" t="s">
        <v>247</v>
      </c>
      <c r="C325" s="4">
        <v>10</v>
      </c>
      <c r="D325" s="4">
        <v>7072163</v>
      </c>
      <c r="E325" s="5" t="s">
        <v>257</v>
      </c>
      <c r="F325" s="6">
        <v>500000</v>
      </c>
      <c r="G325" s="7">
        <v>0</v>
      </c>
      <c r="H325" s="7">
        <v>6632380</v>
      </c>
      <c r="J325" s="8" t="s">
        <v>48</v>
      </c>
      <c r="K325" s="8" t="str">
        <f>VLOOKUP(F325,'[1]141-Coquimbo'!$H$2:$M$26,6,0)</f>
        <v>Coquimbo Muebles</v>
      </c>
    </row>
    <row r="326" spans="1:11" x14ac:dyDescent="0.3">
      <c r="A326" s="8">
        <v>319</v>
      </c>
      <c r="B326" s="4" t="s">
        <v>247</v>
      </c>
      <c r="C326" s="4">
        <v>10</v>
      </c>
      <c r="D326" s="4">
        <v>1077</v>
      </c>
      <c r="E326" s="5" t="s">
        <v>12</v>
      </c>
      <c r="F326" s="6">
        <v>0</v>
      </c>
      <c r="G326" s="7">
        <v>7000000</v>
      </c>
      <c r="H326" s="7">
        <v>8560278</v>
      </c>
      <c r="J326" s="8" t="s">
        <v>13</v>
      </c>
      <c r="K326" s="8">
        <v>0</v>
      </c>
    </row>
    <row r="327" spans="1:11" x14ac:dyDescent="0.3">
      <c r="A327" s="8">
        <v>326</v>
      </c>
      <c r="B327" s="4" t="s">
        <v>258</v>
      </c>
      <c r="C327" s="4">
        <v>10</v>
      </c>
      <c r="D327" s="4">
        <v>4434418</v>
      </c>
      <c r="E327" s="5" t="s">
        <v>50</v>
      </c>
      <c r="F327" s="6">
        <v>8000</v>
      </c>
      <c r="G327" s="7">
        <v>0</v>
      </c>
      <c r="H327" s="7">
        <v>6731280</v>
      </c>
      <c r="J327" s="8" t="s">
        <v>48</v>
      </c>
      <c r="K327" s="8" t="e">
        <f>VLOOKUP(F327,'[2]Cartola 05-2026'!$J$2:$S$85,10,0)</f>
        <v>#N/A</v>
      </c>
    </row>
    <row r="328" spans="1:11" x14ac:dyDescent="0.3">
      <c r="A328" s="8">
        <v>327</v>
      </c>
      <c r="B328" s="4" t="s">
        <v>258</v>
      </c>
      <c r="C328" s="4">
        <v>10</v>
      </c>
      <c r="D328" s="4">
        <v>7046042</v>
      </c>
      <c r="E328" s="5" t="s">
        <v>257</v>
      </c>
      <c r="F328" s="6">
        <v>672340</v>
      </c>
      <c r="G328" s="7">
        <v>0</v>
      </c>
      <c r="H328" s="7">
        <v>6058940</v>
      </c>
      <c r="J328" s="8" t="s">
        <v>48</v>
      </c>
      <c r="K328" s="8" t="str">
        <f>VLOOKUP(F328,'[1]141-Coquimbo'!$H$2:$M$26,6,0)</f>
        <v>Coquimbo Muebles</v>
      </c>
    </row>
    <row r="329" spans="1:11" x14ac:dyDescent="0.3">
      <c r="A329" s="8">
        <v>328</v>
      </c>
      <c r="B329" s="4" t="s">
        <v>258</v>
      </c>
      <c r="C329" s="4">
        <v>10</v>
      </c>
      <c r="D329" s="4">
        <v>7069752</v>
      </c>
      <c r="E329" s="5" t="s">
        <v>232</v>
      </c>
      <c r="F329" s="6">
        <v>35700</v>
      </c>
      <c r="G329" s="7">
        <v>0</v>
      </c>
      <c r="H329" s="7">
        <v>6023240</v>
      </c>
      <c r="J329" s="8" t="s">
        <v>48</v>
      </c>
      <c r="K329" s="8" t="e">
        <f>VLOOKUP(F329,'[2]Cartola 05-2026'!$J$2:$S$85,10,0)</f>
        <v>#N/A</v>
      </c>
    </row>
    <row r="330" spans="1:11" x14ac:dyDescent="0.3">
      <c r="A330" s="8">
        <v>329</v>
      </c>
      <c r="B330" s="4" t="s">
        <v>258</v>
      </c>
      <c r="C330" s="4">
        <v>10</v>
      </c>
      <c r="D330" s="4">
        <v>7069753</v>
      </c>
      <c r="E330" s="5" t="s">
        <v>251</v>
      </c>
      <c r="F330" s="6">
        <v>795717</v>
      </c>
      <c r="G330" s="7">
        <v>0</v>
      </c>
      <c r="H330" s="7">
        <v>5227523</v>
      </c>
      <c r="J330" s="8" t="s">
        <v>48</v>
      </c>
      <c r="K330" s="8" t="str">
        <f>VLOOKUP(F330,'[1]141-Coquimbo'!$H$2:$M$26,6,0)</f>
        <v>Coquimbo Muebles</v>
      </c>
    </row>
    <row r="331" spans="1:11" x14ac:dyDescent="0.3">
      <c r="A331" s="8">
        <v>330</v>
      </c>
      <c r="B331" s="4" t="s">
        <v>258</v>
      </c>
      <c r="C331" s="4">
        <v>10</v>
      </c>
      <c r="D331" s="4">
        <v>7065118</v>
      </c>
      <c r="E331" s="5" t="s">
        <v>259</v>
      </c>
      <c r="F331" s="6">
        <v>738962</v>
      </c>
      <c r="G331" s="7">
        <v>0</v>
      </c>
      <c r="H331" s="7">
        <v>4488561</v>
      </c>
      <c r="J331" s="8" t="s">
        <v>260</v>
      </c>
      <c r="K331" s="8" t="e">
        <f>VLOOKUP(F331,'[2]Cartola 05-2026'!$J$2:$S$85,10,0)</f>
        <v>#N/A</v>
      </c>
    </row>
    <row r="332" spans="1:11" x14ac:dyDescent="0.3">
      <c r="A332" s="8">
        <v>331</v>
      </c>
      <c r="B332" s="4" t="s">
        <v>258</v>
      </c>
      <c r="C332" s="4">
        <v>10</v>
      </c>
      <c r="D332" s="4">
        <v>7069751</v>
      </c>
      <c r="E332" s="5" t="s">
        <v>255</v>
      </c>
      <c r="F332" s="6">
        <v>11781</v>
      </c>
      <c r="G332" s="7">
        <v>0</v>
      </c>
      <c r="H332" s="7">
        <v>4476780</v>
      </c>
      <c r="J332" s="8" t="s">
        <v>48</v>
      </c>
      <c r="K332" s="8" t="str">
        <f>VLOOKUP(F332,'[1]141-Coquimbo'!$H$2:$M$26,6,0)</f>
        <v>Coquimbo Muebles</v>
      </c>
    </row>
    <row r="333" spans="1:11" x14ac:dyDescent="0.3">
      <c r="A333" s="8">
        <v>332</v>
      </c>
      <c r="B333" s="4" t="s">
        <v>258</v>
      </c>
      <c r="C333" s="4">
        <v>10</v>
      </c>
      <c r="D333" s="4">
        <v>7042536</v>
      </c>
      <c r="E333" s="5" t="s">
        <v>254</v>
      </c>
      <c r="F333" s="6">
        <v>860857</v>
      </c>
      <c r="G333" s="7">
        <v>0</v>
      </c>
      <c r="H333" s="7">
        <v>3615923</v>
      </c>
      <c r="J333" s="8" t="s">
        <v>48</v>
      </c>
      <c r="K333" s="8" t="str">
        <f>VLOOKUP(F333,'[1]141-Coquimbo'!$H$2:$M$26,6,0)</f>
        <v>Coquimbo Muebles</v>
      </c>
    </row>
    <row r="334" spans="1:11" x14ac:dyDescent="0.3">
      <c r="A334" s="8">
        <v>333</v>
      </c>
      <c r="B334" s="4" t="s">
        <v>258</v>
      </c>
      <c r="C334" s="4">
        <v>10</v>
      </c>
      <c r="D334" s="4">
        <v>1084259</v>
      </c>
      <c r="E334" s="5" t="s">
        <v>44</v>
      </c>
      <c r="F334" s="6">
        <v>37791</v>
      </c>
      <c r="G334" s="7">
        <v>0</v>
      </c>
      <c r="H334" s="7">
        <v>3578132</v>
      </c>
      <c r="J334" s="8" t="s">
        <v>48</v>
      </c>
      <c r="K334" s="8" t="e">
        <f>VLOOKUP(F334,'[2]Cartola 05-2026'!$J$2:$S$85,10,0)</f>
        <v>#N/A</v>
      </c>
    </row>
    <row r="335" spans="1:11" x14ac:dyDescent="0.3">
      <c r="A335" s="8">
        <v>334</v>
      </c>
      <c r="B335" s="4" t="s">
        <v>258</v>
      </c>
      <c r="C335" s="4">
        <v>10</v>
      </c>
      <c r="D335" s="4">
        <v>1085332</v>
      </c>
      <c r="E335" s="5" t="s">
        <v>261</v>
      </c>
      <c r="F335" s="6">
        <v>75582</v>
      </c>
      <c r="G335" s="7">
        <v>0</v>
      </c>
      <c r="H335" s="7">
        <v>3502550</v>
      </c>
      <c r="J335" s="8" t="s">
        <v>48</v>
      </c>
      <c r="K335" s="8" t="e">
        <f>VLOOKUP(F335,'[2]Cartola 05-2026'!$J$2:$S$85,10,0)</f>
        <v>#N/A</v>
      </c>
    </row>
    <row r="336" spans="1:11" x14ac:dyDescent="0.3">
      <c r="A336" s="8">
        <v>335</v>
      </c>
      <c r="B336" s="4" t="s">
        <v>258</v>
      </c>
      <c r="C336" s="4">
        <v>10</v>
      </c>
      <c r="D336" s="4">
        <v>1085918</v>
      </c>
      <c r="E336" s="5" t="s">
        <v>262</v>
      </c>
      <c r="F336" s="6">
        <v>9000</v>
      </c>
      <c r="G336" s="7">
        <v>0</v>
      </c>
      <c r="H336" s="7">
        <v>3493550</v>
      </c>
      <c r="J336" s="8" t="s">
        <v>48</v>
      </c>
      <c r="K336" s="8" t="e">
        <f>VLOOKUP(F336,'[2]Cartola 05-2026'!$J$2:$S$85,10,0)</f>
        <v>#N/A</v>
      </c>
    </row>
    <row r="337" spans="1:11" x14ac:dyDescent="0.3">
      <c r="A337" s="8">
        <v>336</v>
      </c>
      <c r="B337" s="4" t="s">
        <v>258</v>
      </c>
      <c r="C337" s="4">
        <v>11</v>
      </c>
      <c r="D337" s="4">
        <v>4036217</v>
      </c>
      <c r="E337" s="5" t="s">
        <v>36</v>
      </c>
      <c r="F337" s="6">
        <v>34335</v>
      </c>
      <c r="G337" s="7">
        <v>0</v>
      </c>
      <c r="H337" s="7">
        <v>3459215</v>
      </c>
      <c r="J337" s="8" t="s">
        <v>48</v>
      </c>
      <c r="K337" s="8" t="e">
        <f>VLOOKUP(F337,'[2]Cartola 05-2026'!$J$2:$S$85,10,0)</f>
        <v>#N/A</v>
      </c>
    </row>
    <row r="338" spans="1:11" x14ac:dyDescent="0.3">
      <c r="A338" s="8">
        <v>337</v>
      </c>
      <c r="B338" s="4" t="s">
        <v>263</v>
      </c>
      <c r="C338" s="4">
        <v>11</v>
      </c>
      <c r="D338" s="4">
        <v>4356466</v>
      </c>
      <c r="E338" s="5" t="s">
        <v>50</v>
      </c>
      <c r="F338" s="6">
        <v>7000</v>
      </c>
      <c r="G338" s="7">
        <v>0</v>
      </c>
      <c r="H338" s="7">
        <v>3452215</v>
      </c>
      <c r="J338" s="8" t="s">
        <v>48</v>
      </c>
      <c r="K338" s="8" t="e">
        <f>VLOOKUP(F338,'[2]Cartola 05-2026'!$J$2:$S$85,10,0)</f>
        <v>#N/A</v>
      </c>
    </row>
    <row r="339" spans="1:11" x14ac:dyDescent="0.3">
      <c r="A339" s="8">
        <v>338</v>
      </c>
      <c r="B339" s="4" t="s">
        <v>263</v>
      </c>
      <c r="C339" s="4">
        <v>11</v>
      </c>
      <c r="D339" s="4">
        <v>7039147</v>
      </c>
      <c r="E339" s="5" t="s">
        <v>264</v>
      </c>
      <c r="F339" s="6">
        <v>235668</v>
      </c>
      <c r="G339" s="7">
        <v>0</v>
      </c>
      <c r="H339" s="7">
        <v>3216547</v>
      </c>
      <c r="J339" s="8" t="s">
        <v>48</v>
      </c>
      <c r="K339" s="8" t="str">
        <f>VLOOKUP(F339,'[1]121-CFT'!$I$6:$N$43,6,0)</f>
        <v>CFT</v>
      </c>
    </row>
    <row r="340" spans="1:11" x14ac:dyDescent="0.3">
      <c r="A340" s="8">
        <v>325</v>
      </c>
      <c r="B340" s="4" t="s">
        <v>258</v>
      </c>
      <c r="C340" s="4">
        <v>10</v>
      </c>
      <c r="D340" s="4">
        <v>1077</v>
      </c>
      <c r="E340" s="5" t="s">
        <v>82</v>
      </c>
      <c r="F340" s="6">
        <v>0</v>
      </c>
      <c r="G340" s="7">
        <v>106900</v>
      </c>
      <c r="H340" s="7">
        <v>6739280</v>
      </c>
      <c r="J340" s="8" t="s">
        <v>48</v>
      </c>
      <c r="K340" s="8">
        <v>0</v>
      </c>
    </row>
    <row r="341" spans="1:11" x14ac:dyDescent="0.3">
      <c r="A341" s="8">
        <v>340</v>
      </c>
      <c r="B341" s="4" t="s">
        <v>263</v>
      </c>
      <c r="C341" s="4">
        <v>11</v>
      </c>
      <c r="D341" s="4">
        <v>7033578</v>
      </c>
      <c r="E341" s="5" t="s">
        <v>266</v>
      </c>
      <c r="F341" s="6">
        <v>450000</v>
      </c>
      <c r="G341" s="7">
        <v>0</v>
      </c>
      <c r="H341" s="7">
        <v>1766547</v>
      </c>
      <c r="J341" s="8" t="s">
        <v>48</v>
      </c>
      <c r="K341" s="8" t="str">
        <f>VLOOKUP(F341,'[1]141-Coquimbo'!$H$2:$M$26,6,0)</f>
        <v>Coquimbo Muebles</v>
      </c>
    </row>
    <row r="342" spans="1:11" x14ac:dyDescent="0.3">
      <c r="A342" s="8">
        <v>341</v>
      </c>
      <c r="B342" s="4" t="s">
        <v>263</v>
      </c>
      <c r="C342" s="4">
        <v>11</v>
      </c>
      <c r="D342" s="4">
        <v>3631604</v>
      </c>
      <c r="E342" s="5" t="s">
        <v>113</v>
      </c>
      <c r="F342" s="6">
        <v>750</v>
      </c>
      <c r="G342" s="7">
        <v>0</v>
      </c>
      <c r="H342" s="7">
        <v>1765797</v>
      </c>
      <c r="J342" s="8" t="s">
        <v>48</v>
      </c>
      <c r="K342" s="8" t="e">
        <f>VLOOKUP(F342,'[2]Cartola 05-2026'!$J$2:$S$85,10,0)</f>
        <v>#N/A</v>
      </c>
    </row>
    <row r="343" spans="1:11" x14ac:dyDescent="0.3">
      <c r="A343" s="8">
        <v>342</v>
      </c>
      <c r="B343" s="4" t="s">
        <v>263</v>
      </c>
      <c r="C343" s="4">
        <v>11</v>
      </c>
      <c r="D343" s="4">
        <v>4036217</v>
      </c>
      <c r="E343" s="5" t="s">
        <v>36</v>
      </c>
      <c r="F343" s="6">
        <v>37409</v>
      </c>
      <c r="G343" s="7">
        <v>0</v>
      </c>
      <c r="H343" s="7">
        <v>1728388</v>
      </c>
      <c r="J343" s="8" t="s">
        <v>48</v>
      </c>
      <c r="K343" s="8" t="e">
        <f>VLOOKUP(F343,'[2]Cartola 05-2026'!$J$2:$S$85,10,0)</f>
        <v>#N/A</v>
      </c>
    </row>
    <row r="344" spans="1:11" x14ac:dyDescent="0.3">
      <c r="A344" s="8">
        <v>339</v>
      </c>
      <c r="B344" s="4" t="s">
        <v>263</v>
      </c>
      <c r="C344" s="4">
        <v>11</v>
      </c>
      <c r="D344" s="4">
        <v>7038432</v>
      </c>
      <c r="E344" s="5" t="s">
        <v>265</v>
      </c>
      <c r="F344" s="6">
        <v>1000000</v>
      </c>
      <c r="G344" s="7">
        <v>0</v>
      </c>
      <c r="H344" s="7">
        <v>2216547</v>
      </c>
      <c r="J344" s="8" t="s">
        <v>48</v>
      </c>
      <c r="K344" s="8">
        <v>0</v>
      </c>
    </row>
    <row r="345" spans="1:11" x14ac:dyDescent="0.3">
      <c r="A345" s="8">
        <v>344</v>
      </c>
      <c r="B345" s="4" t="s">
        <v>263</v>
      </c>
      <c r="C345" s="4">
        <v>11</v>
      </c>
      <c r="D345" s="4">
        <v>7033375</v>
      </c>
      <c r="E345" s="5" t="s">
        <v>257</v>
      </c>
      <c r="F345" s="6">
        <v>61710</v>
      </c>
      <c r="G345" s="7">
        <v>0</v>
      </c>
      <c r="H345" s="7">
        <v>666678</v>
      </c>
      <c r="J345" s="8" t="s">
        <v>48</v>
      </c>
      <c r="K345" s="8" t="str">
        <f>VLOOKUP(F345,'[1]141-Coquimbo'!$H$2:$M$26,6,0)</f>
        <v>Coquimbo Muebles</v>
      </c>
    </row>
    <row r="346" spans="1:11" x14ac:dyDescent="0.3">
      <c r="A346" s="8">
        <v>345</v>
      </c>
      <c r="B346" s="4" t="s">
        <v>268</v>
      </c>
      <c r="C346" s="4">
        <v>11</v>
      </c>
      <c r="D346" s="4">
        <v>1086273</v>
      </c>
      <c r="E346" s="5" t="s">
        <v>126</v>
      </c>
      <c r="F346" s="6">
        <v>3070</v>
      </c>
      <c r="G346" s="7">
        <v>0</v>
      </c>
      <c r="H346" s="7">
        <v>663608</v>
      </c>
      <c r="J346" s="8" t="s">
        <v>48</v>
      </c>
      <c r="K346" s="8" t="e">
        <f>VLOOKUP(F346,'[2]Cartola 05-2026'!$J$2:$S$85,10,0)</f>
        <v>#N/A</v>
      </c>
    </row>
    <row r="347" spans="1:11" x14ac:dyDescent="0.3">
      <c r="A347" s="8">
        <v>346</v>
      </c>
      <c r="B347" s="4" t="s">
        <v>268</v>
      </c>
      <c r="C347" s="4">
        <v>11</v>
      </c>
      <c r="D347" s="4">
        <v>1086273</v>
      </c>
      <c r="E347" s="5" t="s">
        <v>126</v>
      </c>
      <c r="F347" s="6">
        <v>17480</v>
      </c>
      <c r="G347" s="7">
        <v>0</v>
      </c>
      <c r="H347" s="7">
        <v>646128</v>
      </c>
      <c r="J347" s="8" t="s">
        <v>48</v>
      </c>
      <c r="K347" s="8" t="e">
        <f>VLOOKUP(F347,'[2]Cartola 05-2026'!$J$2:$S$85,10,0)</f>
        <v>#N/A</v>
      </c>
    </row>
    <row r="348" spans="1:11" x14ac:dyDescent="0.3">
      <c r="A348" s="8">
        <v>347</v>
      </c>
      <c r="B348" s="4" t="s">
        <v>268</v>
      </c>
      <c r="C348" s="4">
        <v>11</v>
      </c>
      <c r="D348" s="4">
        <v>1188799</v>
      </c>
      <c r="E348" s="5" t="s">
        <v>67</v>
      </c>
      <c r="F348" s="6">
        <v>13650</v>
      </c>
      <c r="G348" s="7">
        <v>0</v>
      </c>
      <c r="H348" s="7">
        <v>632478</v>
      </c>
      <c r="J348" s="8" t="s">
        <v>68</v>
      </c>
      <c r="K348" s="8" t="e">
        <f>VLOOKUP(F348,'[2]Cartola 05-2026'!$J$2:$S$85,10,0)</f>
        <v>#N/A</v>
      </c>
    </row>
    <row r="349" spans="1:11" x14ac:dyDescent="0.3">
      <c r="A349" s="8">
        <v>348</v>
      </c>
      <c r="B349" s="4" t="s">
        <v>268</v>
      </c>
      <c r="C349" s="4">
        <v>11</v>
      </c>
      <c r="D349" s="4">
        <v>4036217</v>
      </c>
      <c r="E349" s="5" t="s">
        <v>36</v>
      </c>
      <c r="F349" s="6">
        <v>46144</v>
      </c>
      <c r="G349" s="7">
        <v>0</v>
      </c>
      <c r="H349" s="7">
        <v>586334</v>
      </c>
      <c r="J349" s="8" t="s">
        <v>48</v>
      </c>
      <c r="K349" s="8" t="e">
        <f>VLOOKUP(F349,'[2]Cartola 05-2026'!$J$2:$S$85,10,0)</f>
        <v>#N/A</v>
      </c>
    </row>
    <row r="350" spans="1:11" x14ac:dyDescent="0.3">
      <c r="A350" s="8">
        <v>343</v>
      </c>
      <c r="B350" s="4" t="s">
        <v>263</v>
      </c>
      <c r="C350" s="4">
        <v>11</v>
      </c>
      <c r="D350" s="4">
        <v>7084100</v>
      </c>
      <c r="E350" s="5" t="s">
        <v>267</v>
      </c>
      <c r="F350" s="6">
        <v>1000000</v>
      </c>
      <c r="G350" s="7">
        <v>0</v>
      </c>
      <c r="H350" s="7">
        <v>728388</v>
      </c>
      <c r="J350" s="8" t="s">
        <v>48</v>
      </c>
      <c r="K350" s="8">
        <v>0</v>
      </c>
    </row>
    <row r="351" spans="1:11" x14ac:dyDescent="0.3">
      <c r="A351" s="8">
        <v>350</v>
      </c>
      <c r="B351" s="4" t="s">
        <v>269</v>
      </c>
      <c r="C351" s="4">
        <v>11</v>
      </c>
      <c r="D351" s="4">
        <v>7037728</v>
      </c>
      <c r="E351" s="5" t="s">
        <v>251</v>
      </c>
      <c r="F351" s="6">
        <v>1795718</v>
      </c>
      <c r="G351" s="7">
        <v>0</v>
      </c>
      <c r="H351" s="7">
        <v>5790616</v>
      </c>
      <c r="J351" s="8" t="s">
        <v>48</v>
      </c>
      <c r="K351" s="8" t="str">
        <f>VLOOKUP(F351,'[1]141-Coquimbo'!$H$2:$M$26,6,0)</f>
        <v>Coquimbo Muebles</v>
      </c>
    </row>
    <row r="352" spans="1:11" x14ac:dyDescent="0.3">
      <c r="A352" s="8">
        <v>351</v>
      </c>
      <c r="B352" s="4" t="s">
        <v>269</v>
      </c>
      <c r="C352" s="4">
        <v>11</v>
      </c>
      <c r="D352" s="4">
        <v>7048910</v>
      </c>
      <c r="E352" s="5" t="s">
        <v>270</v>
      </c>
      <c r="F352" s="6">
        <v>296900</v>
      </c>
      <c r="G352" s="7">
        <v>0</v>
      </c>
      <c r="H352" s="7">
        <v>5493716</v>
      </c>
      <c r="J352" s="8" t="s">
        <v>48</v>
      </c>
      <c r="K352" s="8" t="s">
        <v>499</v>
      </c>
    </row>
    <row r="353" spans="1:11" x14ac:dyDescent="0.3">
      <c r="A353" s="8">
        <v>349</v>
      </c>
      <c r="B353" s="4" t="s">
        <v>269</v>
      </c>
      <c r="C353" s="4">
        <v>11</v>
      </c>
      <c r="D353" s="4">
        <v>1077</v>
      </c>
      <c r="E353" s="5" t="s">
        <v>12</v>
      </c>
      <c r="F353" s="6">
        <v>0</v>
      </c>
      <c r="G353" s="7">
        <v>7000000</v>
      </c>
      <c r="H353" s="7">
        <v>7586334</v>
      </c>
      <c r="J353" s="8" t="s">
        <v>13</v>
      </c>
      <c r="K353" s="8">
        <v>0</v>
      </c>
    </row>
    <row r="354" spans="1:11" x14ac:dyDescent="0.3">
      <c r="A354" s="8">
        <v>353</v>
      </c>
      <c r="B354" s="4" t="s">
        <v>269</v>
      </c>
      <c r="C354" s="4">
        <v>11</v>
      </c>
      <c r="D354" s="4">
        <v>4519061</v>
      </c>
      <c r="E354" s="5" t="s">
        <v>50</v>
      </c>
      <c r="F354" s="6">
        <v>420</v>
      </c>
      <c r="G354" s="7">
        <v>0</v>
      </c>
      <c r="H354" s="7">
        <v>12493296</v>
      </c>
      <c r="J354" s="8" t="s">
        <v>48</v>
      </c>
      <c r="K354" s="8" t="e">
        <f>VLOOKUP(F354,'[2]Cartola 05-2026'!$J$2:$S$85,10,0)</f>
        <v>#N/A</v>
      </c>
    </row>
    <row r="355" spans="1:11" x14ac:dyDescent="0.3">
      <c r="A355" s="8">
        <v>354</v>
      </c>
      <c r="B355" s="4" t="s">
        <v>269</v>
      </c>
      <c r="C355" s="4">
        <v>11</v>
      </c>
      <c r="D355" s="4">
        <v>4573962</v>
      </c>
      <c r="E355" s="5" t="s">
        <v>271</v>
      </c>
      <c r="F355" s="6">
        <v>750</v>
      </c>
      <c r="G355" s="7">
        <v>0</v>
      </c>
      <c r="H355" s="7">
        <v>12492546</v>
      </c>
      <c r="J355" s="8" t="s">
        <v>48</v>
      </c>
      <c r="K355" s="8" t="e">
        <f>VLOOKUP(F355,'[2]Cartola 05-2026'!$J$2:$S$85,10,0)</f>
        <v>#N/A</v>
      </c>
    </row>
    <row r="356" spans="1:11" x14ac:dyDescent="0.3">
      <c r="A356" s="8">
        <v>355</v>
      </c>
      <c r="B356" s="4" t="s">
        <v>269</v>
      </c>
      <c r="C356" s="4">
        <v>11</v>
      </c>
      <c r="D356" s="4">
        <v>1137611</v>
      </c>
      <c r="E356" s="5" t="s">
        <v>272</v>
      </c>
      <c r="F356" s="6">
        <v>14852</v>
      </c>
      <c r="G356" s="7">
        <v>0</v>
      </c>
      <c r="H356" s="7">
        <v>12477694</v>
      </c>
      <c r="J356" s="8" t="s">
        <v>48</v>
      </c>
      <c r="K356" s="8" t="s">
        <v>499</v>
      </c>
    </row>
    <row r="357" spans="1:11" x14ac:dyDescent="0.3">
      <c r="A357" s="8">
        <v>356</v>
      </c>
      <c r="B357" s="4" t="s">
        <v>269</v>
      </c>
      <c r="C357" s="4">
        <v>11</v>
      </c>
      <c r="D357" s="4">
        <v>4270765</v>
      </c>
      <c r="E357" s="5" t="s">
        <v>177</v>
      </c>
      <c r="F357" s="6">
        <v>1590</v>
      </c>
      <c r="G357" s="7">
        <v>0</v>
      </c>
      <c r="H357" s="7">
        <v>12476104</v>
      </c>
      <c r="J357" s="8" t="s">
        <v>273</v>
      </c>
      <c r="K357" s="8" t="e">
        <f>VLOOKUP(F357,'[2]Cartola 05-2026'!$J$2:$S$85,10,0)</f>
        <v>#N/A</v>
      </c>
    </row>
    <row r="358" spans="1:11" x14ac:dyDescent="0.3">
      <c r="A358" s="8">
        <v>357</v>
      </c>
      <c r="B358" s="4" t="s">
        <v>269</v>
      </c>
      <c r="C358" s="4">
        <v>11</v>
      </c>
      <c r="D358" s="4">
        <v>7021076</v>
      </c>
      <c r="E358" s="5" t="s">
        <v>17</v>
      </c>
      <c r="F358" s="6">
        <v>5000000</v>
      </c>
      <c r="G358" s="7">
        <v>0</v>
      </c>
      <c r="H358" s="7">
        <v>7476104</v>
      </c>
      <c r="J358" s="8" t="s">
        <v>48</v>
      </c>
      <c r="K358" s="8" t="str">
        <f>VLOOKUP(F358,'[1]145-Lago Verde'!$J$3:$O$73,6,0)</f>
        <v>Lago Verde</v>
      </c>
    </row>
    <row r="359" spans="1:11" x14ac:dyDescent="0.3">
      <c r="A359" s="8">
        <v>358</v>
      </c>
      <c r="B359" s="4" t="s">
        <v>269</v>
      </c>
      <c r="C359" s="4">
        <v>11</v>
      </c>
      <c r="D359" s="4">
        <v>7071473</v>
      </c>
      <c r="E359" s="5" t="s">
        <v>274</v>
      </c>
      <c r="F359" s="6">
        <v>59809</v>
      </c>
      <c r="G359" s="7">
        <v>0</v>
      </c>
      <c r="H359" s="7">
        <v>7416295</v>
      </c>
      <c r="J359" s="8" t="s">
        <v>48</v>
      </c>
      <c r="K359" s="8" t="str">
        <f>VLOOKUP(F359,'[1]145-Lago Verde'!$J$3:$O$73,6,0)</f>
        <v>Lago Verde</v>
      </c>
    </row>
    <row r="360" spans="1:11" x14ac:dyDescent="0.3">
      <c r="A360" s="8">
        <v>359</v>
      </c>
      <c r="B360" s="4" t="s">
        <v>269</v>
      </c>
      <c r="C360" s="4">
        <v>11</v>
      </c>
      <c r="D360" s="4">
        <v>7021078</v>
      </c>
      <c r="E360" s="5" t="s">
        <v>17</v>
      </c>
      <c r="F360" s="6">
        <v>1934656</v>
      </c>
      <c r="G360" s="7">
        <v>0</v>
      </c>
      <c r="H360" s="7">
        <v>5481639</v>
      </c>
      <c r="J360" s="8" t="s">
        <v>48</v>
      </c>
      <c r="K360" s="8" t="str">
        <f>VLOOKUP(F360,'[1]145-Lago Verde'!$J$3:$O$73,6,0)</f>
        <v>Lago Verde</v>
      </c>
    </row>
    <row r="361" spans="1:11" x14ac:dyDescent="0.3">
      <c r="A361" s="8">
        <v>360</v>
      </c>
      <c r="B361" s="4" t="s">
        <v>269</v>
      </c>
      <c r="C361" s="4">
        <v>11</v>
      </c>
      <c r="D361" s="4">
        <v>7002121</v>
      </c>
      <c r="E361" s="5" t="s">
        <v>102</v>
      </c>
      <c r="F361" s="6">
        <v>1113669</v>
      </c>
      <c r="G361" s="7">
        <v>0</v>
      </c>
      <c r="H361" s="7">
        <v>4367970</v>
      </c>
      <c r="J361" s="8" t="s">
        <v>48</v>
      </c>
      <c r="K361" s="8" t="str">
        <f>VLOOKUP(F361,'[1]121-CFT'!$I$6:$N$43,6,0)</f>
        <v>CFT</v>
      </c>
    </row>
    <row r="362" spans="1:11" x14ac:dyDescent="0.3">
      <c r="A362" s="8">
        <v>361</v>
      </c>
      <c r="B362" s="4" t="s">
        <v>269</v>
      </c>
      <c r="C362" s="4">
        <v>11</v>
      </c>
      <c r="D362" s="4">
        <v>7004552</v>
      </c>
      <c r="E362" s="5" t="s">
        <v>275</v>
      </c>
      <c r="F362" s="6">
        <v>1000000</v>
      </c>
      <c r="G362" s="7">
        <v>0</v>
      </c>
      <c r="H362" s="7">
        <v>3367970</v>
      </c>
      <c r="J362" s="8" t="s">
        <v>48</v>
      </c>
      <c r="K362" s="8" t="str">
        <f>VLOOKUP(F362,'[1]145-Lago Verde'!$J$3:$O$73,6,0)</f>
        <v>Lago Verde</v>
      </c>
    </row>
    <row r="363" spans="1:11" x14ac:dyDescent="0.3">
      <c r="A363" s="8">
        <v>352</v>
      </c>
      <c r="B363" s="4" t="s">
        <v>269</v>
      </c>
      <c r="C363" s="4">
        <v>11</v>
      </c>
      <c r="D363" s="4">
        <v>1077</v>
      </c>
      <c r="E363" s="5" t="s">
        <v>12</v>
      </c>
      <c r="F363" s="6">
        <v>0</v>
      </c>
      <c r="G363" s="7">
        <v>7000000</v>
      </c>
      <c r="H363" s="7">
        <v>12493716</v>
      </c>
      <c r="J363" s="8" t="s">
        <v>13</v>
      </c>
      <c r="K363" s="8">
        <v>0</v>
      </c>
    </row>
    <row r="364" spans="1:11" x14ac:dyDescent="0.3">
      <c r="A364" s="8">
        <v>362</v>
      </c>
      <c r="B364" s="4" t="s">
        <v>269</v>
      </c>
      <c r="C364" s="4">
        <v>11</v>
      </c>
      <c r="D364" s="4">
        <v>7001202</v>
      </c>
      <c r="E364" s="5" t="s">
        <v>276</v>
      </c>
      <c r="F364" s="6">
        <v>345100</v>
      </c>
      <c r="G364" s="7">
        <v>0</v>
      </c>
      <c r="H364" s="7">
        <v>3022870</v>
      </c>
      <c r="J364" s="8" t="s">
        <v>48</v>
      </c>
      <c r="K364" s="8">
        <v>0</v>
      </c>
    </row>
    <row r="365" spans="1:11" x14ac:dyDescent="0.3">
      <c r="A365" s="8">
        <v>364</v>
      </c>
      <c r="B365" s="4" t="s">
        <v>277</v>
      </c>
      <c r="C365" s="4">
        <v>11</v>
      </c>
      <c r="D365" s="4">
        <v>3511962</v>
      </c>
      <c r="E365" s="5" t="s">
        <v>278</v>
      </c>
      <c r="F365" s="6">
        <v>44700</v>
      </c>
      <c r="G365" s="7">
        <v>0</v>
      </c>
      <c r="H365" s="7">
        <v>9978170</v>
      </c>
      <c r="J365" s="8" t="s">
        <v>48</v>
      </c>
      <c r="K365" s="8" t="e">
        <f>VLOOKUP(F365,'[2]Cartola 05-2026'!$J$2:$S$85,10,0)</f>
        <v>#N/A</v>
      </c>
    </row>
    <row r="366" spans="1:11" x14ac:dyDescent="0.3">
      <c r="A366" s="8">
        <v>365</v>
      </c>
      <c r="B366" s="4" t="s">
        <v>277</v>
      </c>
      <c r="C366" s="4">
        <v>11</v>
      </c>
      <c r="D366" s="4">
        <v>4519061</v>
      </c>
      <c r="E366" s="5" t="s">
        <v>50</v>
      </c>
      <c r="F366" s="6">
        <v>360</v>
      </c>
      <c r="G366" s="7">
        <v>0</v>
      </c>
      <c r="H366" s="7">
        <v>9977810</v>
      </c>
      <c r="J366" s="8" t="s">
        <v>48</v>
      </c>
      <c r="K366" s="8" t="e">
        <f>VLOOKUP(F366,'[2]Cartola 05-2026'!$J$2:$S$85,10,0)</f>
        <v>#N/A</v>
      </c>
    </row>
    <row r="367" spans="1:11" x14ac:dyDescent="0.3">
      <c r="A367" s="8">
        <v>366</v>
      </c>
      <c r="B367" s="4" t="s">
        <v>277</v>
      </c>
      <c r="C367" s="4">
        <v>11</v>
      </c>
      <c r="D367" s="4">
        <v>4427811</v>
      </c>
      <c r="E367" s="5" t="s">
        <v>279</v>
      </c>
      <c r="F367" s="6">
        <v>19400</v>
      </c>
      <c r="G367" s="7">
        <v>0</v>
      </c>
      <c r="H367" s="7">
        <v>9958410</v>
      </c>
      <c r="J367" s="8" t="s">
        <v>48</v>
      </c>
      <c r="K367" s="8" t="e">
        <f>VLOOKUP(F367,'[2]Cartola 05-2026'!$J$2:$S$85,10,0)</f>
        <v>#N/A</v>
      </c>
    </row>
    <row r="368" spans="1:11" x14ac:dyDescent="0.3">
      <c r="A368" s="8">
        <v>367</v>
      </c>
      <c r="B368" s="4" t="s">
        <v>277</v>
      </c>
      <c r="C368" s="4">
        <v>11</v>
      </c>
      <c r="D368" s="4">
        <v>1086273</v>
      </c>
      <c r="E368" s="5" t="s">
        <v>126</v>
      </c>
      <c r="F368" s="6">
        <v>203730</v>
      </c>
      <c r="G368" s="7">
        <v>0</v>
      </c>
      <c r="H368" s="7">
        <v>9754680</v>
      </c>
      <c r="J368" s="8" t="s">
        <v>48</v>
      </c>
      <c r="K368" s="8" t="e">
        <f>VLOOKUP(F368,'[2]Cartola 05-2026'!$J$2:$S$85,10,0)</f>
        <v>#N/A</v>
      </c>
    </row>
    <row r="369" spans="1:11" x14ac:dyDescent="0.3">
      <c r="A369" s="8">
        <v>368</v>
      </c>
      <c r="B369" s="4" t="s">
        <v>277</v>
      </c>
      <c r="C369" s="4">
        <v>11</v>
      </c>
      <c r="D369" s="4">
        <v>7025927</v>
      </c>
      <c r="E369" s="5" t="s">
        <v>280</v>
      </c>
      <c r="F369" s="6">
        <v>238000</v>
      </c>
      <c r="G369" s="7">
        <v>0</v>
      </c>
      <c r="H369" s="7">
        <v>9516680</v>
      </c>
      <c r="J369" s="8" t="s">
        <v>48</v>
      </c>
      <c r="K369" s="8" t="str">
        <f>VLOOKUP(F369,'[1]145-Lago Verde'!$J$3:$O$73,6,0)</f>
        <v>Lago Verde</v>
      </c>
    </row>
    <row r="370" spans="1:11" x14ac:dyDescent="0.3">
      <c r="A370" s="8">
        <v>369</v>
      </c>
      <c r="B370" s="4" t="s">
        <v>277</v>
      </c>
      <c r="C370" s="4">
        <v>11</v>
      </c>
      <c r="D370" s="4">
        <v>7095875</v>
      </c>
      <c r="E370" s="5" t="s">
        <v>267</v>
      </c>
      <c r="F370" s="6">
        <v>661735</v>
      </c>
      <c r="G370" s="7">
        <v>0</v>
      </c>
      <c r="H370" s="7">
        <v>8854945</v>
      </c>
      <c r="J370" s="8" t="s">
        <v>48</v>
      </c>
      <c r="K370" s="8" t="e">
        <f>VLOOKUP(F370,'[2]Cartola 05-2026'!$J$2:$S$85,10,0)</f>
        <v>#N/A</v>
      </c>
    </row>
    <row r="371" spans="1:11" x14ac:dyDescent="0.3">
      <c r="A371" s="8">
        <v>370</v>
      </c>
      <c r="B371" s="4" t="s">
        <v>277</v>
      </c>
      <c r="C371" s="4">
        <v>11</v>
      </c>
      <c r="D371" s="4">
        <v>7009881</v>
      </c>
      <c r="E371" s="5" t="s">
        <v>281</v>
      </c>
      <c r="F371" s="6">
        <v>100000</v>
      </c>
      <c r="G371" s="7">
        <v>0</v>
      </c>
      <c r="H371" s="7">
        <v>8754945</v>
      </c>
      <c r="J371" s="8" t="s">
        <v>48</v>
      </c>
      <c r="K371" s="8" t="str">
        <f>VLOOKUP(F371,'[1]145-Lago Verde'!$J$3:$O$73,6,0)</f>
        <v>Lago Verde</v>
      </c>
    </row>
    <row r="372" spans="1:11" x14ac:dyDescent="0.3">
      <c r="A372" s="8">
        <v>371</v>
      </c>
      <c r="B372" s="4" t="s">
        <v>277</v>
      </c>
      <c r="C372" s="4">
        <v>11</v>
      </c>
      <c r="D372" s="4">
        <v>7007152</v>
      </c>
      <c r="E372" s="5" t="s">
        <v>282</v>
      </c>
      <c r="F372" s="6">
        <v>3511739</v>
      </c>
      <c r="G372" s="7">
        <v>0</v>
      </c>
      <c r="H372" s="7">
        <v>5243206</v>
      </c>
      <c r="J372" s="8" t="s">
        <v>48</v>
      </c>
      <c r="K372" s="8" t="str">
        <f>VLOOKUP(F372,'[1]145-Lago Verde'!$J$3:$O$73,6,0)</f>
        <v>Lago Verde</v>
      </c>
    </row>
    <row r="373" spans="1:11" x14ac:dyDescent="0.3">
      <c r="A373" s="8">
        <v>372</v>
      </c>
      <c r="B373" s="4" t="s">
        <v>277</v>
      </c>
      <c r="C373" s="4">
        <v>12</v>
      </c>
      <c r="D373" s="4">
        <v>7020983</v>
      </c>
      <c r="E373" s="5" t="s">
        <v>95</v>
      </c>
      <c r="F373" s="6">
        <v>919761</v>
      </c>
      <c r="G373" s="7">
        <v>0</v>
      </c>
      <c r="H373" s="7">
        <v>4323445</v>
      </c>
      <c r="J373" s="8" t="s">
        <v>48</v>
      </c>
      <c r="K373" s="8" t="str">
        <f>VLOOKUP(F373,'[1]145-Lago Verde'!$J$3:$O$73,6,0)</f>
        <v>Lago Verde</v>
      </c>
    </row>
    <row r="374" spans="1:11" x14ac:dyDescent="0.3">
      <c r="A374" s="8">
        <v>373</v>
      </c>
      <c r="B374" s="4" t="s">
        <v>277</v>
      </c>
      <c r="C374" s="4">
        <v>12</v>
      </c>
      <c r="D374" s="4">
        <v>7018747</v>
      </c>
      <c r="E374" s="5" t="s">
        <v>153</v>
      </c>
      <c r="F374" s="6">
        <v>53550</v>
      </c>
      <c r="G374" s="7">
        <v>0</v>
      </c>
      <c r="H374" s="7">
        <v>4269895</v>
      </c>
      <c r="J374" s="8" t="s">
        <v>48</v>
      </c>
      <c r="K374" s="8" t="str">
        <f>VLOOKUP(F374,'[1]145-Lago Verde'!$J$3:$O$73,6,0)</f>
        <v>Lago Verde</v>
      </c>
    </row>
    <row r="375" spans="1:11" x14ac:dyDescent="0.3">
      <c r="A375" s="8">
        <v>374</v>
      </c>
      <c r="B375" s="4" t="s">
        <v>277</v>
      </c>
      <c r="C375" s="4">
        <v>12</v>
      </c>
      <c r="D375" s="4">
        <v>7033981</v>
      </c>
      <c r="E375" s="5" t="s">
        <v>89</v>
      </c>
      <c r="F375" s="6">
        <v>337685</v>
      </c>
      <c r="G375" s="7">
        <v>0</v>
      </c>
      <c r="H375" s="7">
        <v>3932210</v>
      </c>
      <c r="J375" s="8" t="s">
        <v>48</v>
      </c>
      <c r="K375" s="8" t="e">
        <f>VLOOKUP(F375,'[2]Cartola 05-2026'!$J$2:$S$85,10,0)</f>
        <v>#N/A</v>
      </c>
    </row>
    <row r="376" spans="1:11" x14ac:dyDescent="0.3">
      <c r="A376" s="8">
        <v>363</v>
      </c>
      <c r="B376" s="4" t="s">
        <v>277</v>
      </c>
      <c r="C376" s="4">
        <v>11</v>
      </c>
      <c r="D376" s="4">
        <v>1077</v>
      </c>
      <c r="E376" s="5" t="s">
        <v>12</v>
      </c>
      <c r="F376" s="6">
        <v>0</v>
      </c>
      <c r="G376" s="7">
        <v>7000000</v>
      </c>
      <c r="H376" s="7">
        <v>10022870</v>
      </c>
      <c r="J376" s="8" t="s">
        <v>13</v>
      </c>
      <c r="K376" s="8">
        <v>0</v>
      </c>
    </row>
    <row r="377" spans="1:11" x14ac:dyDescent="0.3">
      <c r="A377" s="8">
        <v>376</v>
      </c>
      <c r="B377" s="4" t="s">
        <v>277</v>
      </c>
      <c r="C377" s="4">
        <v>12</v>
      </c>
      <c r="D377" s="4"/>
      <c r="E377" s="5" t="s">
        <v>283</v>
      </c>
      <c r="F377" s="6">
        <v>80000</v>
      </c>
      <c r="G377" s="7">
        <v>0</v>
      </c>
      <c r="H377" s="7">
        <v>10852210</v>
      </c>
      <c r="J377" s="8" t="s">
        <v>54</v>
      </c>
      <c r="K377" s="8" t="e">
        <f>VLOOKUP(F377,'[2]Cartola 05-2026'!$J$2:$S$85,10,0)</f>
        <v>#N/A</v>
      </c>
    </row>
    <row r="378" spans="1:11" x14ac:dyDescent="0.3">
      <c r="A378" s="8">
        <v>377</v>
      </c>
      <c r="B378" s="4" t="s">
        <v>277</v>
      </c>
      <c r="C378" s="4">
        <v>12</v>
      </c>
      <c r="D378" s="4">
        <v>1086273</v>
      </c>
      <c r="E378" s="5" t="s">
        <v>126</v>
      </c>
      <c r="F378" s="6">
        <v>33180</v>
      </c>
      <c r="G378" s="7">
        <v>0</v>
      </c>
      <c r="H378" s="7">
        <v>10819030</v>
      </c>
      <c r="J378" s="8" t="s">
        <v>48</v>
      </c>
      <c r="K378" s="8" t="e">
        <f>VLOOKUP(F378,'[2]Cartola 05-2026'!$J$2:$S$85,10,0)</f>
        <v>#N/A</v>
      </c>
    </row>
    <row r="379" spans="1:11" x14ac:dyDescent="0.3">
      <c r="A379" s="8">
        <v>378</v>
      </c>
      <c r="B379" s="4" t="s">
        <v>277</v>
      </c>
      <c r="C379" s="4">
        <v>12</v>
      </c>
      <c r="D379" s="4">
        <v>4036217</v>
      </c>
      <c r="E379" s="5" t="s">
        <v>36</v>
      </c>
      <c r="F379" s="6">
        <v>45405</v>
      </c>
      <c r="G379" s="7">
        <v>0</v>
      </c>
      <c r="H379" s="7">
        <v>10773625</v>
      </c>
      <c r="J379" s="8" t="s">
        <v>48</v>
      </c>
      <c r="K379" s="8" t="e">
        <f>VLOOKUP(F379,'[2]Cartola 05-2026'!$J$2:$S$85,10,0)</f>
        <v>#N/A</v>
      </c>
    </row>
    <row r="380" spans="1:11" x14ac:dyDescent="0.3">
      <c r="A380" s="8">
        <v>379</v>
      </c>
      <c r="B380" s="4" t="s">
        <v>277</v>
      </c>
      <c r="C380" s="4">
        <v>12</v>
      </c>
      <c r="D380" s="4">
        <v>7027765</v>
      </c>
      <c r="E380" s="5" t="s">
        <v>275</v>
      </c>
      <c r="F380" s="6">
        <v>1307500</v>
      </c>
      <c r="G380" s="7">
        <v>0</v>
      </c>
      <c r="H380" s="7">
        <v>9466125</v>
      </c>
      <c r="J380" s="8" t="s">
        <v>48</v>
      </c>
      <c r="K380" s="8" t="str">
        <f>VLOOKUP(F380,'[1]145-Lago Verde'!$J$3:$O$73,6,0)</f>
        <v>Lago Verde</v>
      </c>
    </row>
    <row r="381" spans="1:11" x14ac:dyDescent="0.3">
      <c r="A381" s="8">
        <v>380</v>
      </c>
      <c r="B381" s="4" t="s">
        <v>277</v>
      </c>
      <c r="C381" s="4">
        <v>12</v>
      </c>
      <c r="D381" s="4">
        <v>7028706</v>
      </c>
      <c r="E381" s="5" t="s">
        <v>284</v>
      </c>
      <c r="F381" s="6">
        <v>226195</v>
      </c>
      <c r="G381" s="7">
        <v>0</v>
      </c>
      <c r="H381" s="7">
        <v>9239930</v>
      </c>
      <c r="J381" s="8" t="s">
        <v>48</v>
      </c>
      <c r="K381" s="8" t="str">
        <f>VLOOKUP(F381,'[1]145-Lago Verde'!$J$3:$O$73,6,0)</f>
        <v>Lago Verde</v>
      </c>
    </row>
    <row r="382" spans="1:11" x14ac:dyDescent="0.3">
      <c r="A382" s="8">
        <v>381</v>
      </c>
      <c r="B382" s="4" t="s">
        <v>277</v>
      </c>
      <c r="C382" s="4">
        <v>12</v>
      </c>
      <c r="D382" s="4">
        <v>7062116</v>
      </c>
      <c r="E382" s="5" t="s">
        <v>275</v>
      </c>
      <c r="F382" s="6">
        <v>307495</v>
      </c>
      <c r="G382" s="7">
        <v>0</v>
      </c>
      <c r="H382" s="7">
        <v>8932435</v>
      </c>
      <c r="J382" s="8" t="s">
        <v>48</v>
      </c>
      <c r="K382" s="8" t="str">
        <f>VLOOKUP(F382,'[1]145-Lago Verde'!$J$3:$O$73,6,0)</f>
        <v>Lago Verde</v>
      </c>
    </row>
    <row r="383" spans="1:11" x14ac:dyDescent="0.3">
      <c r="A383" s="8">
        <v>382</v>
      </c>
      <c r="B383" s="4" t="s">
        <v>277</v>
      </c>
      <c r="C383" s="4">
        <v>12</v>
      </c>
      <c r="D383" s="4">
        <v>7062117</v>
      </c>
      <c r="E383" s="5" t="s">
        <v>254</v>
      </c>
      <c r="F383" s="6">
        <v>862858</v>
      </c>
      <c r="G383" s="7">
        <v>0</v>
      </c>
      <c r="H383" s="7">
        <v>8069577</v>
      </c>
      <c r="J383" s="8" t="s">
        <v>48</v>
      </c>
      <c r="K383" s="8" t="str">
        <f>VLOOKUP(F383,'[1]141-Coquimbo'!$H$2:$M$26,6,0)</f>
        <v>Coquimbo Muebles</v>
      </c>
    </row>
    <row r="384" spans="1:11" x14ac:dyDescent="0.3">
      <c r="A384" s="8">
        <v>383</v>
      </c>
      <c r="B384" s="4" t="s">
        <v>277</v>
      </c>
      <c r="C384" s="4">
        <v>12</v>
      </c>
      <c r="D384" s="4">
        <v>7062118</v>
      </c>
      <c r="E384" s="5" t="s">
        <v>252</v>
      </c>
      <c r="F384" s="6">
        <v>365520</v>
      </c>
      <c r="G384" s="7">
        <v>0</v>
      </c>
      <c r="H384" s="7">
        <v>7704057</v>
      </c>
      <c r="J384" s="8" t="s">
        <v>48</v>
      </c>
      <c r="K384" s="8" t="str">
        <f>VLOOKUP(F384,'[1]141-Coquimbo'!$H$2:$M$26,6,0)</f>
        <v>Coquimbo Muebles</v>
      </c>
    </row>
    <row r="385" spans="1:11" x14ac:dyDescent="0.3">
      <c r="A385" s="8">
        <v>384</v>
      </c>
      <c r="B385" s="4" t="s">
        <v>277</v>
      </c>
      <c r="C385" s="4">
        <v>12</v>
      </c>
      <c r="D385" s="4">
        <v>7062120</v>
      </c>
      <c r="E385" s="5" t="s">
        <v>285</v>
      </c>
      <c r="F385" s="6">
        <v>209973</v>
      </c>
      <c r="G385" s="7">
        <v>0</v>
      </c>
      <c r="H385" s="7">
        <v>7494084</v>
      </c>
      <c r="J385" s="8" t="s">
        <v>48</v>
      </c>
      <c r="K385" s="8" t="str">
        <f>VLOOKUP(F385,'[1]145-Lago Verde'!$J$3:$O$73,6,0)</f>
        <v>Lago Verde</v>
      </c>
    </row>
    <row r="386" spans="1:11" x14ac:dyDescent="0.3">
      <c r="A386" s="8">
        <v>385</v>
      </c>
      <c r="B386" s="4" t="s">
        <v>286</v>
      </c>
      <c r="C386" s="4">
        <v>12</v>
      </c>
      <c r="D386" s="4">
        <v>7076672</v>
      </c>
      <c r="E386" s="5" t="s">
        <v>287</v>
      </c>
      <c r="F386" s="6">
        <v>3705687</v>
      </c>
      <c r="G386" s="7">
        <v>0</v>
      </c>
      <c r="H386" s="7">
        <v>3788397</v>
      </c>
      <c r="J386" s="8" t="s">
        <v>48</v>
      </c>
      <c r="K386" s="8" t="str">
        <f>VLOOKUP(F386,'[1]145-Lago Verde'!$J$3:$O$73,6,0)</f>
        <v>Lago Verde</v>
      </c>
    </row>
    <row r="387" spans="1:11" x14ac:dyDescent="0.3">
      <c r="A387" s="8">
        <v>386</v>
      </c>
      <c r="B387" s="4" t="s">
        <v>286</v>
      </c>
      <c r="C387" s="4">
        <v>12</v>
      </c>
      <c r="D387" s="4">
        <v>7003980</v>
      </c>
      <c r="E387" s="5" t="s">
        <v>19</v>
      </c>
      <c r="F387" s="6">
        <v>122550</v>
      </c>
      <c r="G387" s="7">
        <v>0</v>
      </c>
      <c r="H387" s="7">
        <v>3665847</v>
      </c>
      <c r="J387" s="8" t="s">
        <v>48</v>
      </c>
      <c r="K387" s="8" t="str">
        <f>VLOOKUP(F387,'[1]145-Lago Verde'!$J$3:$O$73,6,0)</f>
        <v>Lago Verde</v>
      </c>
    </row>
    <row r="388" spans="1:11" x14ac:dyDescent="0.3">
      <c r="A388" s="8">
        <v>387</v>
      </c>
      <c r="B388" s="4" t="s">
        <v>286</v>
      </c>
      <c r="C388" s="4">
        <v>12</v>
      </c>
      <c r="D388" s="4">
        <v>7003981</v>
      </c>
      <c r="E388" s="5" t="s">
        <v>64</v>
      </c>
      <c r="F388" s="6">
        <v>1401414</v>
      </c>
      <c r="G388" s="7">
        <v>0</v>
      </c>
      <c r="H388" s="7">
        <v>2264433</v>
      </c>
      <c r="J388" s="8" t="s">
        <v>65</v>
      </c>
      <c r="K388" s="8" t="e">
        <f>VLOOKUP(F388,'[2]Cartola 05-2026'!$J$2:$S$85,10,0)</f>
        <v>#N/A</v>
      </c>
    </row>
    <row r="389" spans="1:11" x14ac:dyDescent="0.3">
      <c r="A389" s="8">
        <v>388</v>
      </c>
      <c r="B389" s="4" t="s">
        <v>286</v>
      </c>
      <c r="C389" s="4">
        <v>12</v>
      </c>
      <c r="D389" s="4">
        <v>7005103</v>
      </c>
      <c r="E389" s="5" t="s">
        <v>288</v>
      </c>
      <c r="F389" s="6">
        <v>120000</v>
      </c>
      <c r="G389" s="7">
        <v>0</v>
      </c>
      <c r="H389" s="7">
        <v>2144433</v>
      </c>
      <c r="J389" s="8" t="s">
        <v>48</v>
      </c>
      <c r="K389" s="8" t="str">
        <f>VLOOKUP(F389,'[1]145-Lago Verde'!$J$3:$O$73,6,0)</f>
        <v>Lago Verde</v>
      </c>
    </row>
    <row r="390" spans="1:11" x14ac:dyDescent="0.3">
      <c r="A390" s="8">
        <v>389</v>
      </c>
      <c r="B390" s="4" t="s">
        <v>286</v>
      </c>
      <c r="C390" s="4">
        <v>12</v>
      </c>
      <c r="D390" s="4">
        <v>7003982</v>
      </c>
      <c r="E390" s="5" t="s">
        <v>253</v>
      </c>
      <c r="F390" s="6">
        <v>35000</v>
      </c>
      <c r="G390" s="7">
        <v>0</v>
      </c>
      <c r="H390" s="7">
        <v>2109433</v>
      </c>
      <c r="J390" s="8" t="s">
        <v>48</v>
      </c>
      <c r="K390" s="8" t="e">
        <f>VLOOKUP(F390,'[2]Cartola 05-2026'!$J$2:$S$85,10,0)</f>
        <v>#N/A</v>
      </c>
    </row>
    <row r="391" spans="1:11" x14ac:dyDescent="0.3">
      <c r="A391" s="8">
        <v>375</v>
      </c>
      <c r="B391" s="4" t="s">
        <v>277</v>
      </c>
      <c r="C391" s="4">
        <v>12</v>
      </c>
      <c r="D391" s="4">
        <v>1077</v>
      </c>
      <c r="E391" s="5" t="s">
        <v>12</v>
      </c>
      <c r="F391" s="6">
        <v>0</v>
      </c>
      <c r="G391" s="7">
        <v>7000000</v>
      </c>
      <c r="H391" s="7">
        <v>10932210</v>
      </c>
      <c r="J391" s="8" t="s">
        <v>13</v>
      </c>
      <c r="K391" s="8">
        <v>0</v>
      </c>
    </row>
    <row r="392" spans="1:11" x14ac:dyDescent="0.3">
      <c r="A392" s="8">
        <v>391</v>
      </c>
      <c r="B392" s="4" t="s">
        <v>286</v>
      </c>
      <c r="C392" s="4">
        <v>12</v>
      </c>
      <c r="D392" s="4">
        <v>2354304</v>
      </c>
      <c r="E392" s="5" t="s">
        <v>14</v>
      </c>
      <c r="F392" s="6">
        <v>344903</v>
      </c>
      <c r="G392" s="7">
        <v>0</v>
      </c>
      <c r="H392" s="7">
        <v>1887080</v>
      </c>
      <c r="J392" s="8" t="s">
        <v>48</v>
      </c>
      <c r="K392" s="8" t="str">
        <f>VLOOKUP(F392,'[1]145-Lago Verde'!$J$3:$O$73,6,0)</f>
        <v>Lago Verde</v>
      </c>
    </row>
    <row r="393" spans="1:11" x14ac:dyDescent="0.3">
      <c r="A393" s="8">
        <v>392</v>
      </c>
      <c r="B393" s="4" t="s">
        <v>286</v>
      </c>
      <c r="C393" s="4">
        <v>12</v>
      </c>
      <c r="D393" s="4">
        <v>2354304</v>
      </c>
      <c r="E393" s="5" t="s">
        <v>14</v>
      </c>
      <c r="F393" s="6">
        <v>300000</v>
      </c>
      <c r="G393" s="7">
        <v>0</v>
      </c>
      <c r="H393" s="7">
        <v>1587080</v>
      </c>
      <c r="J393" s="8" t="s">
        <v>48</v>
      </c>
      <c r="K393" s="8" t="str">
        <f>VLOOKUP(F393,'[1]145-Lago Verde'!$J$3:$O$73,6,0)</f>
        <v>Lago Verde</v>
      </c>
    </row>
    <row r="394" spans="1:11" x14ac:dyDescent="0.3">
      <c r="A394" s="8">
        <v>393</v>
      </c>
      <c r="B394" s="4" t="s">
        <v>286</v>
      </c>
      <c r="C394" s="4">
        <v>12</v>
      </c>
      <c r="D394" s="4">
        <v>4036217</v>
      </c>
      <c r="E394" s="5" t="s">
        <v>36</v>
      </c>
      <c r="F394" s="6">
        <v>36324</v>
      </c>
      <c r="G394" s="7">
        <v>0</v>
      </c>
      <c r="H394" s="7">
        <v>1550756</v>
      </c>
      <c r="J394" s="8" t="s">
        <v>48</v>
      </c>
      <c r="K394" s="8" t="e">
        <f>VLOOKUP(F394,'[2]Cartola 05-2026'!$J$2:$S$85,10,0)</f>
        <v>#N/A</v>
      </c>
    </row>
    <row r="395" spans="1:11" x14ac:dyDescent="0.3">
      <c r="A395" s="8">
        <v>394</v>
      </c>
      <c r="B395" s="4" t="s">
        <v>286</v>
      </c>
      <c r="C395" s="4">
        <v>12</v>
      </c>
      <c r="D395" s="4">
        <v>7096175</v>
      </c>
      <c r="E395" s="5" t="s">
        <v>198</v>
      </c>
      <c r="F395" s="6">
        <v>1171719</v>
      </c>
      <c r="G395" s="7">
        <v>0</v>
      </c>
      <c r="H395" s="7">
        <v>379037</v>
      </c>
      <c r="J395" s="8" t="s">
        <v>48</v>
      </c>
      <c r="K395" s="8" t="str">
        <f>VLOOKUP(F395,'[1]145-Lago Verde'!$J$3:$O$73,6,0)</f>
        <v>Lago Verde</v>
      </c>
    </row>
    <row r="396" spans="1:11" x14ac:dyDescent="0.3">
      <c r="A396" s="8">
        <v>395</v>
      </c>
      <c r="B396" s="4" t="s">
        <v>286</v>
      </c>
      <c r="C396" s="4">
        <v>12</v>
      </c>
      <c r="D396" s="4">
        <v>4224961</v>
      </c>
      <c r="E396" s="5" t="s">
        <v>108</v>
      </c>
      <c r="F396" s="6">
        <v>261498</v>
      </c>
      <c r="G396" s="7">
        <v>0</v>
      </c>
      <c r="H396" s="7">
        <v>117539</v>
      </c>
      <c r="J396" s="8" t="s">
        <v>109</v>
      </c>
      <c r="K396" s="8" t="e">
        <f>VLOOKUP(F396,'[2]Cartola 05-2026'!$J$2:$S$85,10,0)</f>
        <v>#N/A</v>
      </c>
    </row>
    <row r="397" spans="1:11" x14ac:dyDescent="0.3">
      <c r="A397" s="8">
        <v>390</v>
      </c>
      <c r="B397" s="4" t="s">
        <v>286</v>
      </c>
      <c r="C397" s="4">
        <v>12</v>
      </c>
      <c r="D397" s="4">
        <v>1077</v>
      </c>
      <c r="E397" s="5" t="s">
        <v>289</v>
      </c>
      <c r="F397" s="6">
        <v>0</v>
      </c>
      <c r="G397" s="7">
        <v>122550</v>
      </c>
      <c r="H397" s="7">
        <v>2231983</v>
      </c>
      <c r="J397" s="9" t="s">
        <v>290</v>
      </c>
      <c r="K397" s="8">
        <v>0</v>
      </c>
    </row>
    <row r="398" spans="1:11" x14ac:dyDescent="0.3">
      <c r="A398" s="8">
        <v>397</v>
      </c>
      <c r="B398" s="4" t="s">
        <v>291</v>
      </c>
      <c r="C398" s="4">
        <v>12</v>
      </c>
      <c r="D398" s="4">
        <v>4517720</v>
      </c>
      <c r="E398" s="5" t="s">
        <v>50</v>
      </c>
      <c r="F398" s="6">
        <v>4503</v>
      </c>
      <c r="G398" s="7">
        <v>0</v>
      </c>
      <c r="H398" s="7">
        <v>7113036</v>
      </c>
      <c r="J398" s="8" t="s">
        <v>48</v>
      </c>
      <c r="K398" s="8" t="e">
        <f>VLOOKUP(F398,'[2]Cartola 05-2026'!$J$2:$S$85,10,0)</f>
        <v>#N/A</v>
      </c>
    </row>
    <row r="399" spans="1:11" x14ac:dyDescent="0.3">
      <c r="A399" s="8">
        <v>398</v>
      </c>
      <c r="B399" s="4" t="s">
        <v>291</v>
      </c>
      <c r="C399" s="4">
        <v>12</v>
      </c>
      <c r="D399" s="4">
        <v>7036774</v>
      </c>
      <c r="E399" s="5" t="s">
        <v>40</v>
      </c>
      <c r="F399" s="6">
        <v>746650</v>
      </c>
      <c r="G399" s="7">
        <v>0</v>
      </c>
      <c r="H399" s="7">
        <v>6366386</v>
      </c>
      <c r="J399" s="8" t="s">
        <v>48</v>
      </c>
      <c r="K399" s="8" t="str">
        <f>VLOOKUP(F399,'[1]145-Lago Verde'!$J$3:$O$73,6,0)</f>
        <v>Lago Verde</v>
      </c>
    </row>
    <row r="400" spans="1:11" x14ac:dyDescent="0.3">
      <c r="A400" s="8">
        <v>399</v>
      </c>
      <c r="B400" s="4" t="s">
        <v>291</v>
      </c>
      <c r="C400" s="4">
        <v>12</v>
      </c>
      <c r="D400" s="4">
        <v>7011918</v>
      </c>
      <c r="E400" s="5" t="s">
        <v>292</v>
      </c>
      <c r="F400" s="6">
        <v>422000</v>
      </c>
      <c r="G400" s="7">
        <v>0</v>
      </c>
      <c r="H400" s="7">
        <v>5944386</v>
      </c>
      <c r="J400" s="8" t="s">
        <v>48</v>
      </c>
      <c r="K400" s="8" t="str">
        <f>VLOOKUP(F400,'[1]145-Lago Verde'!$J$3:$O$73,6,0)</f>
        <v>Lago Verde</v>
      </c>
    </row>
    <row r="401" spans="1:11" x14ac:dyDescent="0.3">
      <c r="A401" s="8">
        <v>400</v>
      </c>
      <c r="B401" s="4" t="s">
        <v>291</v>
      </c>
      <c r="C401" s="4">
        <v>12</v>
      </c>
      <c r="D401" s="4">
        <v>7032157</v>
      </c>
      <c r="E401" s="5" t="s">
        <v>194</v>
      </c>
      <c r="F401" s="6">
        <v>250092</v>
      </c>
      <c r="G401" s="7">
        <v>0</v>
      </c>
      <c r="H401" s="7">
        <v>5694294</v>
      </c>
      <c r="J401" s="8" t="s">
        <v>176</v>
      </c>
      <c r="K401" s="8" t="e">
        <f>VLOOKUP(F401,'[2]Cartola 05-2026'!$J$2:$S$85,10,0)</f>
        <v>#N/A</v>
      </c>
    </row>
    <row r="402" spans="1:11" x14ac:dyDescent="0.3">
      <c r="A402" s="8">
        <v>401</v>
      </c>
      <c r="B402" s="4" t="s">
        <v>293</v>
      </c>
      <c r="C402" s="4">
        <v>12</v>
      </c>
      <c r="D402" s="4">
        <v>4487246</v>
      </c>
      <c r="E402" s="5" t="s">
        <v>50</v>
      </c>
      <c r="F402" s="6">
        <v>3900</v>
      </c>
      <c r="G402" s="7">
        <v>0</v>
      </c>
      <c r="H402" s="7">
        <v>5690394</v>
      </c>
      <c r="J402" s="8" t="s">
        <v>48</v>
      </c>
      <c r="K402" s="8" t="e">
        <f>VLOOKUP(F402,'[2]Cartola 05-2026'!$J$2:$S$85,10,0)</f>
        <v>#N/A</v>
      </c>
    </row>
    <row r="403" spans="1:11" x14ac:dyDescent="0.3">
      <c r="A403" s="8">
        <v>402</v>
      </c>
      <c r="B403" s="4" t="s">
        <v>293</v>
      </c>
      <c r="C403" s="4">
        <v>12</v>
      </c>
      <c r="D403" s="4">
        <v>3598381</v>
      </c>
      <c r="E403" s="5" t="s">
        <v>294</v>
      </c>
      <c r="F403" s="6">
        <v>37000</v>
      </c>
      <c r="G403" s="7">
        <v>0</v>
      </c>
      <c r="H403" s="7">
        <v>5653394</v>
      </c>
      <c r="J403" s="8" t="s">
        <v>48</v>
      </c>
      <c r="K403" s="8" t="e">
        <f>VLOOKUP(F403,'[2]Cartola 05-2026'!$J$2:$S$85,10,0)</f>
        <v>#N/A</v>
      </c>
    </row>
    <row r="404" spans="1:11" x14ac:dyDescent="0.3">
      <c r="A404" s="8">
        <v>403</v>
      </c>
      <c r="B404" s="4" t="s">
        <v>293</v>
      </c>
      <c r="C404" s="4">
        <v>12</v>
      </c>
      <c r="D404" s="4">
        <v>4487246</v>
      </c>
      <c r="E404" s="5" t="s">
        <v>50</v>
      </c>
      <c r="F404" s="6">
        <v>3900</v>
      </c>
      <c r="G404" s="7">
        <v>0</v>
      </c>
      <c r="H404" s="7">
        <v>5649494</v>
      </c>
      <c r="J404" s="8" t="s">
        <v>48</v>
      </c>
      <c r="K404" s="8" t="e">
        <f>VLOOKUP(F404,'[2]Cartola 05-2026'!$J$2:$S$85,10,0)</f>
        <v>#N/A</v>
      </c>
    </row>
    <row r="405" spans="1:11" x14ac:dyDescent="0.3">
      <c r="A405" s="8">
        <v>404</v>
      </c>
      <c r="B405" s="4" t="s">
        <v>293</v>
      </c>
      <c r="C405" s="4">
        <v>12</v>
      </c>
      <c r="D405" s="4">
        <v>7013432</v>
      </c>
      <c r="E405" s="5" t="s">
        <v>19</v>
      </c>
      <c r="F405" s="6">
        <v>107486</v>
      </c>
      <c r="G405" s="7">
        <v>0</v>
      </c>
      <c r="H405" s="7">
        <v>5542008</v>
      </c>
      <c r="J405" s="8" t="s">
        <v>48</v>
      </c>
      <c r="K405" s="8" t="e">
        <f>VLOOKUP(F405,'[2]Cartola 05-2026'!$J$2:$S$85,10,0)</f>
        <v>#N/A</v>
      </c>
    </row>
    <row r="406" spans="1:11" x14ac:dyDescent="0.3">
      <c r="A406" s="8">
        <v>405</v>
      </c>
      <c r="B406" s="4" t="s">
        <v>293</v>
      </c>
      <c r="C406" s="4">
        <v>12</v>
      </c>
      <c r="D406" s="4">
        <v>7085954</v>
      </c>
      <c r="E406" s="5" t="s">
        <v>295</v>
      </c>
      <c r="F406" s="6">
        <v>780099</v>
      </c>
      <c r="G406" s="7">
        <v>0</v>
      </c>
      <c r="H406" s="7">
        <v>4761909</v>
      </c>
      <c r="J406" s="8" t="s">
        <v>48</v>
      </c>
      <c r="K406" s="8" t="str">
        <f>VLOOKUP(F406,'[1]145-Lago Verde'!$J$3:$O$73,6,0)</f>
        <v>Lago Verde</v>
      </c>
    </row>
    <row r="407" spans="1:11" x14ac:dyDescent="0.3">
      <c r="A407" s="8">
        <v>406</v>
      </c>
      <c r="B407" s="4" t="s">
        <v>293</v>
      </c>
      <c r="C407" s="4">
        <v>12</v>
      </c>
      <c r="D407" s="4">
        <v>7047736</v>
      </c>
      <c r="E407" s="5" t="s">
        <v>296</v>
      </c>
      <c r="F407" s="6">
        <v>1953445</v>
      </c>
      <c r="G407" s="7">
        <v>0</v>
      </c>
      <c r="H407" s="7">
        <v>2808464</v>
      </c>
      <c r="J407" s="8" t="s">
        <v>48</v>
      </c>
      <c r="K407" s="8" t="str">
        <f>VLOOKUP(F407,'[1]145-Lago Verde'!$J$3:$O$73,6,0)</f>
        <v>Lago Verde</v>
      </c>
    </row>
    <row r="408" spans="1:11" x14ac:dyDescent="0.3">
      <c r="A408" s="8">
        <v>407</v>
      </c>
      <c r="B408" s="4" t="s">
        <v>293</v>
      </c>
      <c r="C408" s="4">
        <v>12</v>
      </c>
      <c r="D408" s="4">
        <v>7047737</v>
      </c>
      <c r="E408" s="5" t="s">
        <v>281</v>
      </c>
      <c r="F408" s="6">
        <v>1483882</v>
      </c>
      <c r="G408" s="7">
        <v>0</v>
      </c>
      <c r="H408" s="7">
        <v>1324582</v>
      </c>
      <c r="J408" s="8" t="s">
        <v>48</v>
      </c>
      <c r="K408" s="8" t="str">
        <f>VLOOKUP(F408,'[1]145-Lago Verde'!$J$3:$O$73,6,0)</f>
        <v>Lago Verde</v>
      </c>
    </row>
    <row r="409" spans="1:11" x14ac:dyDescent="0.3">
      <c r="A409" s="8">
        <v>408</v>
      </c>
      <c r="B409" s="4" t="s">
        <v>293</v>
      </c>
      <c r="C409" s="4">
        <v>13</v>
      </c>
      <c r="D409" s="4">
        <v>7081325</v>
      </c>
      <c r="E409" s="5" t="s">
        <v>297</v>
      </c>
      <c r="F409" s="6">
        <v>483392</v>
      </c>
      <c r="G409" s="7">
        <v>0</v>
      </c>
      <c r="H409" s="7">
        <v>841190</v>
      </c>
      <c r="J409" s="8" t="s">
        <v>48</v>
      </c>
      <c r="K409" s="8" t="str">
        <f>VLOOKUP(F409,'[1]145-Lago Verde'!$J$3:$O$73,6,0)</f>
        <v>Lago Verde</v>
      </c>
    </row>
    <row r="410" spans="1:11" x14ac:dyDescent="0.3">
      <c r="A410" s="8">
        <v>409</v>
      </c>
      <c r="B410" s="4" t="s">
        <v>293</v>
      </c>
      <c r="C410" s="4">
        <v>13</v>
      </c>
      <c r="D410" s="4">
        <v>7086827</v>
      </c>
      <c r="E410" s="5" t="s">
        <v>298</v>
      </c>
      <c r="F410" s="6">
        <v>483854</v>
      </c>
      <c r="G410" s="7">
        <v>0</v>
      </c>
      <c r="H410" s="7">
        <v>357336</v>
      </c>
      <c r="J410" s="8" t="s">
        <v>48</v>
      </c>
      <c r="K410" s="8" t="str">
        <f>VLOOKUP(F410,'[1]145-Lago Verde'!$J$3:$O$73,6,0)</f>
        <v>Lago Verde</v>
      </c>
    </row>
    <row r="411" spans="1:11" x14ac:dyDescent="0.3">
      <c r="A411" s="8">
        <v>410</v>
      </c>
      <c r="B411" s="4" t="s">
        <v>293</v>
      </c>
      <c r="C411" s="4">
        <v>13</v>
      </c>
      <c r="D411" s="4">
        <v>7084061</v>
      </c>
      <c r="E411" s="5" t="s">
        <v>299</v>
      </c>
      <c r="F411" s="6">
        <v>330000</v>
      </c>
      <c r="G411" s="7">
        <v>0</v>
      </c>
      <c r="H411" s="7">
        <v>27336</v>
      </c>
      <c r="J411" s="8" t="s">
        <v>48</v>
      </c>
      <c r="K411" s="8" t="str">
        <f>VLOOKUP(F411,'[1]145-Lago Verde'!$J$3:$O$73,6,0)</f>
        <v>Lago Verde</v>
      </c>
    </row>
    <row r="412" spans="1:11" x14ac:dyDescent="0.3">
      <c r="A412" s="8">
        <v>396</v>
      </c>
      <c r="B412" s="4" t="s">
        <v>291</v>
      </c>
      <c r="C412" s="4">
        <v>12</v>
      </c>
      <c r="D412" s="4">
        <v>1077</v>
      </c>
      <c r="E412" s="5" t="s">
        <v>12</v>
      </c>
      <c r="F412" s="6">
        <v>0</v>
      </c>
      <c r="G412" s="7">
        <v>7000000</v>
      </c>
      <c r="H412" s="7">
        <v>7117539</v>
      </c>
      <c r="J412" s="8" t="s">
        <v>13</v>
      </c>
      <c r="K412" s="8">
        <v>0</v>
      </c>
    </row>
    <row r="413" spans="1:11" x14ac:dyDescent="0.3">
      <c r="A413" s="8">
        <v>412</v>
      </c>
      <c r="B413" s="4" t="s">
        <v>293</v>
      </c>
      <c r="C413" s="4">
        <v>13</v>
      </c>
      <c r="D413" s="4">
        <v>4466932</v>
      </c>
      <c r="E413" s="5" t="s">
        <v>300</v>
      </c>
      <c r="F413" s="6">
        <v>414526</v>
      </c>
      <c r="G413" s="7">
        <v>0</v>
      </c>
      <c r="H413" s="7">
        <v>6612810</v>
      </c>
      <c r="J413" s="8" t="s">
        <v>48</v>
      </c>
      <c r="K413" s="8" t="str">
        <f>VLOOKUP(F413,'[1]145-Lago Verde'!$J$3:$O$73,6,0)</f>
        <v>Lago Verde</v>
      </c>
    </row>
    <row r="414" spans="1:11" x14ac:dyDescent="0.3">
      <c r="A414" s="8">
        <v>413</v>
      </c>
      <c r="B414" s="4" t="s">
        <v>293</v>
      </c>
      <c r="C414" s="4">
        <v>13</v>
      </c>
      <c r="D414" s="4">
        <v>4517720</v>
      </c>
      <c r="E414" s="5" t="s">
        <v>50</v>
      </c>
      <c r="F414" s="6">
        <v>3910</v>
      </c>
      <c r="G414" s="7">
        <v>0</v>
      </c>
      <c r="H414" s="7">
        <v>6608900</v>
      </c>
      <c r="J414" s="8" t="s">
        <v>48</v>
      </c>
      <c r="K414" s="8" t="e">
        <f>VLOOKUP(F414,'[2]Cartola 05-2026'!$J$2:$S$85,10,0)</f>
        <v>#N/A</v>
      </c>
    </row>
    <row r="415" spans="1:11" x14ac:dyDescent="0.3">
      <c r="A415" s="8">
        <v>414</v>
      </c>
      <c r="B415" s="4" t="s">
        <v>293</v>
      </c>
      <c r="C415" s="4">
        <v>13</v>
      </c>
      <c r="D415" s="4">
        <v>7090936</v>
      </c>
      <c r="E415" s="5" t="s">
        <v>301</v>
      </c>
      <c r="F415" s="6">
        <v>184000</v>
      </c>
      <c r="G415" s="7">
        <v>0</v>
      </c>
      <c r="H415" s="7">
        <v>6424900</v>
      </c>
      <c r="J415" s="8" t="s">
        <v>48</v>
      </c>
      <c r="K415" s="8" t="str">
        <f>VLOOKUP(F415,'[1]145-Lago Verde'!$J$3:$O$73,6,0)</f>
        <v>Lago Verde</v>
      </c>
    </row>
    <row r="416" spans="1:11" x14ac:dyDescent="0.3">
      <c r="A416" s="8">
        <v>415</v>
      </c>
      <c r="B416" s="4" t="s">
        <v>293</v>
      </c>
      <c r="C416" s="4">
        <v>13</v>
      </c>
      <c r="D416" s="4">
        <v>7015248</v>
      </c>
      <c r="E416" s="5" t="s">
        <v>281</v>
      </c>
      <c r="F416" s="6">
        <v>155771</v>
      </c>
      <c r="G416" s="7">
        <v>0</v>
      </c>
      <c r="H416" s="7">
        <v>6269129</v>
      </c>
      <c r="J416" s="8" t="s">
        <v>48</v>
      </c>
      <c r="K416" s="8" t="str">
        <f>VLOOKUP(F416,'[1]145-Lago Verde'!$J$3:$O$73,6,0)</f>
        <v>Lago Verde</v>
      </c>
    </row>
    <row r="417" spans="1:11" x14ac:dyDescent="0.3">
      <c r="A417" s="8">
        <v>416</v>
      </c>
      <c r="B417" s="4" t="s">
        <v>293</v>
      </c>
      <c r="C417" s="4">
        <v>13</v>
      </c>
      <c r="D417" s="4">
        <v>7055086</v>
      </c>
      <c r="E417" s="5" t="s">
        <v>19</v>
      </c>
      <c r="F417" s="6">
        <v>122550</v>
      </c>
      <c r="G417" s="7">
        <v>0</v>
      </c>
      <c r="H417" s="7">
        <v>6146579</v>
      </c>
      <c r="J417" s="8" t="s">
        <v>48</v>
      </c>
      <c r="K417" s="8" t="str">
        <f>VLOOKUP(F417,'[1]145-Lago Verde'!$J$3:$O$73,6,0)</f>
        <v>Lago Verde</v>
      </c>
    </row>
    <row r="418" spans="1:11" x14ac:dyDescent="0.3">
      <c r="A418" s="8">
        <v>417</v>
      </c>
      <c r="B418" s="4" t="s">
        <v>293</v>
      </c>
      <c r="C418" s="4">
        <v>13</v>
      </c>
      <c r="D418" s="4">
        <v>7092551</v>
      </c>
      <c r="E418" s="5" t="s">
        <v>281</v>
      </c>
      <c r="F418" s="6">
        <v>1829268</v>
      </c>
      <c r="G418" s="7">
        <v>0</v>
      </c>
      <c r="H418" s="7">
        <v>4317311</v>
      </c>
      <c r="J418" s="8" t="s">
        <v>48</v>
      </c>
      <c r="K418" s="8" t="str">
        <f>VLOOKUP(F418,'[1]145-Lago Verde'!$J$3:$O$73,6,0)</f>
        <v>Lago Verde</v>
      </c>
    </row>
    <row r="419" spans="1:11" x14ac:dyDescent="0.3">
      <c r="A419" s="8">
        <v>411</v>
      </c>
      <c r="B419" s="4" t="s">
        <v>293</v>
      </c>
      <c r="C419" s="4">
        <v>13</v>
      </c>
      <c r="D419" s="4">
        <v>1077</v>
      </c>
      <c r="E419" s="5" t="s">
        <v>12</v>
      </c>
      <c r="F419" s="6">
        <v>0</v>
      </c>
      <c r="G419" s="7">
        <v>7000000</v>
      </c>
      <c r="H419" s="7">
        <v>7027336</v>
      </c>
      <c r="J419" s="8" t="s">
        <v>13</v>
      </c>
      <c r="K419" s="8">
        <v>0</v>
      </c>
    </row>
    <row r="420" spans="1:11" x14ac:dyDescent="0.3">
      <c r="A420" s="8">
        <v>419</v>
      </c>
      <c r="B420" s="4" t="s">
        <v>302</v>
      </c>
      <c r="C420" s="4">
        <v>13</v>
      </c>
      <c r="D420" s="4">
        <v>4520744</v>
      </c>
      <c r="E420" s="5" t="s">
        <v>136</v>
      </c>
      <c r="F420" s="6">
        <v>64090</v>
      </c>
      <c r="G420" s="7">
        <v>0</v>
      </c>
      <c r="H420" s="7">
        <v>11253221</v>
      </c>
      <c r="J420" s="8" t="s">
        <v>48</v>
      </c>
      <c r="K420" s="8" t="str">
        <f>VLOOKUP(F420,'[1]145-Lago Verde'!$J$3:$O$73,6,0)</f>
        <v>Lago Verde</v>
      </c>
    </row>
    <row r="421" spans="1:11" x14ac:dyDescent="0.3">
      <c r="A421" s="8">
        <v>420</v>
      </c>
      <c r="B421" s="4" t="s">
        <v>302</v>
      </c>
      <c r="C421" s="4">
        <v>13</v>
      </c>
      <c r="D421" s="4">
        <v>4487246</v>
      </c>
      <c r="E421" s="5" t="s">
        <v>50</v>
      </c>
      <c r="F421" s="6">
        <v>3900</v>
      </c>
      <c r="G421" s="7">
        <v>0</v>
      </c>
      <c r="H421" s="7">
        <v>11249321</v>
      </c>
      <c r="J421" s="8" t="s">
        <v>48</v>
      </c>
      <c r="K421" s="8" t="e">
        <f>VLOOKUP(F421,'[2]Cartola 05-2026'!$J$2:$S$85,10,0)</f>
        <v>#N/A</v>
      </c>
    </row>
    <row r="422" spans="1:11" x14ac:dyDescent="0.3">
      <c r="A422" s="8">
        <v>421</v>
      </c>
      <c r="B422" s="4" t="s">
        <v>302</v>
      </c>
      <c r="C422" s="4">
        <v>13</v>
      </c>
      <c r="D422" s="4">
        <v>4487246</v>
      </c>
      <c r="E422" s="5" t="s">
        <v>50</v>
      </c>
      <c r="F422" s="6">
        <v>3900</v>
      </c>
      <c r="G422" s="7">
        <v>0</v>
      </c>
      <c r="H422" s="7">
        <v>11245421</v>
      </c>
      <c r="J422" s="8" t="s">
        <v>48</v>
      </c>
      <c r="K422" s="8" t="e">
        <f>VLOOKUP(F422,'[2]Cartola 05-2026'!$J$2:$S$85,10,0)</f>
        <v>#N/A</v>
      </c>
    </row>
    <row r="423" spans="1:11" x14ac:dyDescent="0.3">
      <c r="A423" s="8">
        <v>422</v>
      </c>
      <c r="B423" s="4" t="s">
        <v>302</v>
      </c>
      <c r="C423" s="4">
        <v>13</v>
      </c>
      <c r="D423" s="4">
        <v>4844875</v>
      </c>
      <c r="E423" s="5" t="s">
        <v>303</v>
      </c>
      <c r="F423" s="6">
        <v>62307</v>
      </c>
      <c r="G423" s="7">
        <v>0</v>
      </c>
      <c r="H423" s="7">
        <v>11183114</v>
      </c>
      <c r="J423" s="8" t="s">
        <v>48</v>
      </c>
      <c r="K423" s="8" t="e">
        <f>VLOOKUP(F423,'[2]Cartola 05-2026'!$J$2:$S$85,10,0)</f>
        <v>#N/A</v>
      </c>
    </row>
    <row r="424" spans="1:11" x14ac:dyDescent="0.3">
      <c r="A424" s="8">
        <v>423</v>
      </c>
      <c r="B424" s="4" t="s">
        <v>302</v>
      </c>
      <c r="C424" s="4">
        <v>13</v>
      </c>
      <c r="D424" s="4">
        <v>4630483</v>
      </c>
      <c r="E424" s="5" t="s">
        <v>304</v>
      </c>
      <c r="F424" s="6">
        <v>199500</v>
      </c>
      <c r="G424" s="7">
        <v>0</v>
      </c>
      <c r="H424" s="7">
        <v>10983614</v>
      </c>
      <c r="J424" s="8" t="s">
        <v>48</v>
      </c>
      <c r="K424" s="8" t="str">
        <f>VLOOKUP(F424,'[1]145-Lago Verde'!$J$3:$O$73,6,0)</f>
        <v>Lago Verde</v>
      </c>
    </row>
    <row r="425" spans="1:11" x14ac:dyDescent="0.3">
      <c r="A425" s="8">
        <v>424</v>
      </c>
      <c r="B425" s="4" t="s">
        <v>302</v>
      </c>
      <c r="C425" s="4">
        <v>13</v>
      </c>
      <c r="D425" s="4">
        <v>4054933</v>
      </c>
      <c r="E425" s="5" t="s">
        <v>305</v>
      </c>
      <c r="F425" s="6">
        <v>24633</v>
      </c>
      <c r="G425" s="7">
        <v>0</v>
      </c>
      <c r="H425" s="7">
        <v>10958981</v>
      </c>
      <c r="J425" s="8" t="s">
        <v>48</v>
      </c>
      <c r="K425" s="8" t="e">
        <f>VLOOKUP(F425,'[2]Cartola 05-2026'!$J$2:$S$85,10,0)</f>
        <v>#N/A</v>
      </c>
    </row>
    <row r="426" spans="1:11" x14ac:dyDescent="0.3">
      <c r="A426" s="8">
        <v>425</v>
      </c>
      <c r="B426" s="4" t="s">
        <v>302</v>
      </c>
      <c r="C426" s="4">
        <v>13</v>
      </c>
      <c r="D426" s="4">
        <v>4393121</v>
      </c>
      <c r="E426" s="5" t="s">
        <v>50</v>
      </c>
      <c r="F426" s="6">
        <v>18980</v>
      </c>
      <c r="G426" s="7">
        <v>0</v>
      </c>
      <c r="H426" s="7">
        <v>10940001</v>
      </c>
      <c r="J426" s="8" t="s">
        <v>48</v>
      </c>
      <c r="K426" s="8" t="e">
        <f>VLOOKUP(F426,'[2]Cartola 05-2026'!$J$2:$S$85,10,0)</f>
        <v>#N/A</v>
      </c>
    </row>
    <row r="427" spans="1:11" x14ac:dyDescent="0.3">
      <c r="A427" s="8">
        <v>426</v>
      </c>
      <c r="B427" s="4" t="s">
        <v>302</v>
      </c>
      <c r="C427" s="4">
        <v>13</v>
      </c>
      <c r="D427" s="4">
        <v>7056637</v>
      </c>
      <c r="E427" s="5" t="s">
        <v>131</v>
      </c>
      <c r="F427" s="6">
        <v>108643</v>
      </c>
      <c r="G427" s="7">
        <v>0</v>
      </c>
      <c r="H427" s="7">
        <v>10831358</v>
      </c>
      <c r="J427" s="8" t="s">
        <v>48</v>
      </c>
      <c r="K427" s="8" t="str">
        <f>VLOOKUP(F427,'[1]145-Lago Verde'!$J$3:$O$73,6,0)</f>
        <v>Lago Verde</v>
      </c>
    </row>
    <row r="428" spans="1:11" x14ac:dyDescent="0.3">
      <c r="A428" s="8">
        <v>427</v>
      </c>
      <c r="B428" s="4" t="s">
        <v>302</v>
      </c>
      <c r="C428" s="4">
        <v>13</v>
      </c>
      <c r="D428" s="4">
        <v>7073000</v>
      </c>
      <c r="E428" s="5" t="s">
        <v>306</v>
      </c>
      <c r="F428" s="6">
        <v>240000</v>
      </c>
      <c r="G428" s="7">
        <v>0</v>
      </c>
      <c r="H428" s="7">
        <v>10591358</v>
      </c>
      <c r="J428" s="8" t="s">
        <v>48</v>
      </c>
      <c r="K428" s="8" t="e">
        <f>VLOOKUP(F428,'[2]Cartola 05-2026'!$J$2:$S$85,10,0)</f>
        <v>#N/A</v>
      </c>
    </row>
    <row r="429" spans="1:11" x14ac:dyDescent="0.3">
      <c r="A429" s="8">
        <v>428</v>
      </c>
      <c r="B429" s="4" t="s">
        <v>302</v>
      </c>
      <c r="C429" s="4">
        <v>13</v>
      </c>
      <c r="D429" s="4">
        <v>7076781</v>
      </c>
      <c r="E429" s="5" t="s">
        <v>169</v>
      </c>
      <c r="F429" s="6">
        <v>5000000</v>
      </c>
      <c r="G429" s="7">
        <v>0</v>
      </c>
      <c r="H429" s="7">
        <v>5591358</v>
      </c>
      <c r="J429" s="8" t="s">
        <v>48</v>
      </c>
      <c r="K429" s="8" t="str">
        <f>VLOOKUP(F429,'[1]145-Lago Verde'!$J$3:$O$73,6,0)</f>
        <v>Lago Verde</v>
      </c>
    </row>
    <row r="430" spans="1:11" x14ac:dyDescent="0.3">
      <c r="A430" s="8">
        <v>429</v>
      </c>
      <c r="B430" s="4" t="s">
        <v>302</v>
      </c>
      <c r="C430" s="4">
        <v>13</v>
      </c>
      <c r="D430" s="4">
        <v>7076780</v>
      </c>
      <c r="E430" s="5" t="s">
        <v>169</v>
      </c>
      <c r="F430" s="6">
        <v>1000000</v>
      </c>
      <c r="G430" s="7">
        <v>0</v>
      </c>
      <c r="H430" s="7">
        <v>4591358</v>
      </c>
      <c r="J430" s="8" t="s">
        <v>48</v>
      </c>
      <c r="K430" s="8" t="str">
        <f>VLOOKUP(F430,'[1]145-Lago Verde'!$J$3:$O$73,6,0)</f>
        <v>Lago Verde</v>
      </c>
    </row>
    <row r="431" spans="1:11" x14ac:dyDescent="0.3">
      <c r="A431" s="8">
        <v>430</v>
      </c>
      <c r="B431" s="4" t="s">
        <v>302</v>
      </c>
      <c r="C431" s="4">
        <v>13</v>
      </c>
      <c r="D431" s="4">
        <v>1086290</v>
      </c>
      <c r="E431" s="5" t="s">
        <v>226</v>
      </c>
      <c r="F431" s="6">
        <v>35470</v>
      </c>
      <c r="G431" s="7">
        <v>0</v>
      </c>
      <c r="H431" s="7">
        <v>4555888</v>
      </c>
      <c r="J431" s="8" t="s">
        <v>48</v>
      </c>
      <c r="K431" s="8" t="e">
        <f>VLOOKUP(F431,'[2]Cartola 05-2026'!$J$2:$S$85,10,0)</f>
        <v>#N/A</v>
      </c>
    </row>
    <row r="432" spans="1:11" x14ac:dyDescent="0.3">
      <c r="A432" s="8">
        <v>431</v>
      </c>
      <c r="B432" s="4" t="s">
        <v>302</v>
      </c>
      <c r="C432" s="4">
        <v>13</v>
      </c>
      <c r="D432" s="4">
        <v>4036217</v>
      </c>
      <c r="E432" s="5" t="s">
        <v>36</v>
      </c>
      <c r="F432" s="6">
        <v>30968</v>
      </c>
      <c r="G432" s="7">
        <v>0</v>
      </c>
      <c r="H432" s="7">
        <v>4524920</v>
      </c>
      <c r="J432" s="8" t="s">
        <v>48</v>
      </c>
      <c r="K432" s="8" t="e">
        <f>VLOOKUP(F432,'[2]Cartola 05-2026'!$J$2:$S$85,10,0)</f>
        <v>#N/A</v>
      </c>
    </row>
    <row r="433" spans="1:11" x14ac:dyDescent="0.3">
      <c r="A433" s="8">
        <v>432</v>
      </c>
      <c r="B433" s="4" t="s">
        <v>302</v>
      </c>
      <c r="C433" s="4">
        <v>13</v>
      </c>
      <c r="D433" s="4">
        <v>4053308</v>
      </c>
      <c r="E433" s="5" t="s">
        <v>49</v>
      </c>
      <c r="F433" s="6">
        <v>119960</v>
      </c>
      <c r="G433" s="7">
        <v>0</v>
      </c>
      <c r="H433" s="7">
        <v>4404960</v>
      </c>
      <c r="J433" s="8" t="s">
        <v>48</v>
      </c>
      <c r="K433" s="8" t="e">
        <f>VLOOKUP(F433,'[2]Cartola 05-2026'!$J$2:$S$85,10,0)</f>
        <v>#N/A</v>
      </c>
    </row>
    <row r="434" spans="1:11" x14ac:dyDescent="0.3">
      <c r="A434" s="8">
        <v>418</v>
      </c>
      <c r="B434" s="4" t="s">
        <v>302</v>
      </c>
      <c r="C434" s="4">
        <v>13</v>
      </c>
      <c r="D434" s="4">
        <v>1077</v>
      </c>
      <c r="E434" s="5" t="s">
        <v>12</v>
      </c>
      <c r="F434" s="6">
        <v>0</v>
      </c>
      <c r="G434" s="7">
        <v>7000000</v>
      </c>
      <c r="H434" s="7">
        <v>11317311</v>
      </c>
      <c r="J434" s="8" t="s">
        <v>13</v>
      </c>
      <c r="K434" s="8">
        <v>0</v>
      </c>
    </row>
    <row r="435" spans="1:11" x14ac:dyDescent="0.3">
      <c r="A435" s="8">
        <v>434</v>
      </c>
      <c r="B435" s="4" t="s">
        <v>302</v>
      </c>
      <c r="C435" s="4">
        <v>13</v>
      </c>
      <c r="D435" s="4">
        <v>4520744</v>
      </c>
      <c r="E435" s="5" t="s">
        <v>136</v>
      </c>
      <c r="F435" s="6">
        <v>47560</v>
      </c>
      <c r="G435" s="7">
        <v>0</v>
      </c>
      <c r="H435" s="7">
        <v>4327400</v>
      </c>
      <c r="J435" s="8" t="s">
        <v>48</v>
      </c>
      <c r="K435" s="8" t="e">
        <f>VLOOKUP(F435,'[2]Cartola 05-2026'!$J$2:$S$85,10,0)</f>
        <v>#N/A</v>
      </c>
    </row>
    <row r="436" spans="1:11" x14ac:dyDescent="0.3">
      <c r="A436" s="8">
        <v>435</v>
      </c>
      <c r="B436" s="4" t="s">
        <v>307</v>
      </c>
      <c r="C436" s="4">
        <v>13</v>
      </c>
      <c r="D436" s="4">
        <v>7087195</v>
      </c>
      <c r="E436" s="5" t="s">
        <v>308</v>
      </c>
      <c r="F436" s="6">
        <v>288000</v>
      </c>
      <c r="G436" s="7">
        <v>0</v>
      </c>
      <c r="H436" s="7">
        <v>4039400</v>
      </c>
      <c r="J436" s="8" t="s">
        <v>48</v>
      </c>
      <c r="K436" s="8" t="str">
        <f>VLOOKUP(F436,'[1]121-CFT'!$I$6:$N$43,6,0)</f>
        <v>CFT</v>
      </c>
    </row>
    <row r="437" spans="1:11" x14ac:dyDescent="0.3">
      <c r="A437" s="8">
        <v>436</v>
      </c>
      <c r="B437" s="4" t="s">
        <v>307</v>
      </c>
      <c r="C437" s="4">
        <v>13</v>
      </c>
      <c r="D437" s="4">
        <v>7089833</v>
      </c>
      <c r="E437" s="5" t="s">
        <v>309</v>
      </c>
      <c r="F437" s="6">
        <v>374850</v>
      </c>
      <c r="G437" s="7">
        <v>0</v>
      </c>
      <c r="H437" s="7">
        <v>3664550</v>
      </c>
      <c r="J437" s="8" t="s">
        <v>48</v>
      </c>
      <c r="K437" s="8" t="str">
        <f>VLOOKUP(F437,'[1]145-Lago Verde'!$J$3:$O$73,6,0)</f>
        <v>Lago Verde</v>
      </c>
    </row>
    <row r="438" spans="1:11" x14ac:dyDescent="0.3">
      <c r="A438" s="8">
        <v>437</v>
      </c>
      <c r="B438" s="4" t="s">
        <v>307</v>
      </c>
      <c r="C438" s="4">
        <v>13</v>
      </c>
      <c r="D438" s="4">
        <v>7095888</v>
      </c>
      <c r="E438" s="5" t="s">
        <v>310</v>
      </c>
      <c r="F438" s="6">
        <v>330000</v>
      </c>
      <c r="G438" s="7">
        <v>0</v>
      </c>
      <c r="H438" s="7">
        <v>3334550</v>
      </c>
      <c r="J438" s="8" t="s">
        <v>48</v>
      </c>
      <c r="K438" s="8" t="e">
        <f>VLOOKUP(F438,'[2]Cartola 05-2026'!$J$2:$S$85,10,0)</f>
        <v>#N/A</v>
      </c>
    </row>
    <row r="439" spans="1:11" x14ac:dyDescent="0.3">
      <c r="A439" s="8">
        <v>438</v>
      </c>
      <c r="B439" s="4" t="s">
        <v>307</v>
      </c>
      <c r="C439" s="4">
        <v>13</v>
      </c>
      <c r="D439" s="4">
        <v>7097465</v>
      </c>
      <c r="E439" s="5" t="s">
        <v>253</v>
      </c>
      <c r="F439" s="6">
        <v>167150</v>
      </c>
      <c r="G439" s="7">
        <v>0</v>
      </c>
      <c r="H439" s="7">
        <v>3167400</v>
      </c>
      <c r="J439" s="8" t="s">
        <v>48</v>
      </c>
      <c r="K439" s="8" t="e">
        <f>VLOOKUP(F439,'[2]Cartola 05-2026'!$J$2:$S$85,10,0)</f>
        <v>#N/A</v>
      </c>
    </row>
    <row r="440" spans="1:11" x14ac:dyDescent="0.3">
      <c r="A440" s="8">
        <v>439</v>
      </c>
      <c r="B440" s="4" t="s">
        <v>307</v>
      </c>
      <c r="C440" s="4">
        <v>13</v>
      </c>
      <c r="D440" s="4"/>
      <c r="E440" s="5" t="s">
        <v>311</v>
      </c>
      <c r="F440" s="6">
        <v>80000</v>
      </c>
      <c r="G440" s="7">
        <v>0</v>
      </c>
      <c r="H440" s="7">
        <v>3087400</v>
      </c>
      <c r="J440" s="8" t="s">
        <v>54</v>
      </c>
      <c r="K440" s="8" t="e">
        <f>VLOOKUP(F440,'[2]Cartola 05-2026'!$J$2:$S$85,10,0)</f>
        <v>#N/A</v>
      </c>
    </row>
    <row r="441" spans="1:11" x14ac:dyDescent="0.3">
      <c r="A441" s="8">
        <v>440</v>
      </c>
      <c r="B441" s="4" t="s">
        <v>307</v>
      </c>
      <c r="C441" s="4">
        <v>13</v>
      </c>
      <c r="D441" s="4">
        <v>4036217</v>
      </c>
      <c r="E441" s="5" t="s">
        <v>36</v>
      </c>
      <c r="F441" s="6">
        <v>50079</v>
      </c>
      <c r="G441" s="7">
        <v>0</v>
      </c>
      <c r="H441" s="7">
        <v>3037321</v>
      </c>
      <c r="J441" s="8" t="s">
        <v>48</v>
      </c>
      <c r="K441" s="8" t="e">
        <f>VLOOKUP(F441,'[2]Cartola 05-2026'!$J$2:$S$85,10,0)</f>
        <v>#N/A</v>
      </c>
    </row>
    <row r="442" spans="1:11" x14ac:dyDescent="0.3">
      <c r="A442" s="8">
        <v>441</v>
      </c>
      <c r="B442" s="4" t="s">
        <v>307</v>
      </c>
      <c r="C442" s="4">
        <v>13</v>
      </c>
      <c r="D442" s="4">
        <v>1107806</v>
      </c>
      <c r="E442" s="5" t="s">
        <v>83</v>
      </c>
      <c r="F442" s="6">
        <v>4780</v>
      </c>
      <c r="G442" s="7">
        <v>0</v>
      </c>
      <c r="H442" s="7">
        <v>3032541</v>
      </c>
      <c r="J442" s="8" t="s">
        <v>48</v>
      </c>
      <c r="K442" s="8" t="e">
        <f>VLOOKUP(F442,'[2]Cartola 05-2026'!$J$2:$S$85,10,0)</f>
        <v>#N/A</v>
      </c>
    </row>
    <row r="443" spans="1:11" x14ac:dyDescent="0.3">
      <c r="A443" s="8">
        <v>442</v>
      </c>
      <c r="B443" s="4" t="s">
        <v>307</v>
      </c>
      <c r="C443" s="4">
        <v>13</v>
      </c>
      <c r="D443" s="4">
        <v>1196082</v>
      </c>
      <c r="E443" s="5" t="s">
        <v>144</v>
      </c>
      <c r="F443" s="6">
        <v>4800</v>
      </c>
      <c r="G443" s="7">
        <v>0</v>
      </c>
      <c r="H443" s="7">
        <v>3027741</v>
      </c>
      <c r="J443" s="8" t="s">
        <v>48</v>
      </c>
      <c r="K443" s="8" t="e">
        <f>VLOOKUP(F443,'[2]Cartola 05-2026'!$J$2:$S$85,10,0)</f>
        <v>#N/A</v>
      </c>
    </row>
    <row r="444" spans="1:11" x14ac:dyDescent="0.3">
      <c r="A444" s="8">
        <v>443</v>
      </c>
      <c r="B444" s="4" t="s">
        <v>307</v>
      </c>
      <c r="C444" s="4">
        <v>13</v>
      </c>
      <c r="D444" s="4">
        <v>4434418</v>
      </c>
      <c r="E444" s="5" t="s">
        <v>50</v>
      </c>
      <c r="F444" s="6">
        <v>34000</v>
      </c>
      <c r="G444" s="7">
        <v>0</v>
      </c>
      <c r="H444" s="7">
        <v>2993741</v>
      </c>
      <c r="J444" s="8" t="s">
        <v>48</v>
      </c>
      <c r="K444" s="8" t="e">
        <f>VLOOKUP(F444,'[2]Cartola 05-2026'!$J$2:$S$85,10,0)</f>
        <v>#N/A</v>
      </c>
    </row>
    <row r="445" spans="1:11" x14ac:dyDescent="0.3">
      <c r="A445" s="8">
        <v>433</v>
      </c>
      <c r="B445" s="4" t="s">
        <v>302</v>
      </c>
      <c r="C445" s="4">
        <v>13</v>
      </c>
      <c r="D445" s="4">
        <v>4434418</v>
      </c>
      <c r="E445" s="5" t="s">
        <v>50</v>
      </c>
      <c r="F445" s="6">
        <v>30000</v>
      </c>
      <c r="G445" s="7">
        <v>0</v>
      </c>
      <c r="H445" s="7">
        <v>4374960</v>
      </c>
      <c r="J445" s="8" t="s">
        <v>48</v>
      </c>
      <c r="K445" s="8">
        <v>0</v>
      </c>
    </row>
    <row r="446" spans="1:11" x14ac:dyDescent="0.3">
      <c r="A446" s="8">
        <v>445</v>
      </c>
      <c r="B446" s="4" t="s">
        <v>312</v>
      </c>
      <c r="C446" s="4">
        <v>14</v>
      </c>
      <c r="D446" s="4">
        <v>7003402</v>
      </c>
      <c r="E446" s="5" t="s">
        <v>130</v>
      </c>
      <c r="F446" s="6">
        <v>19599</v>
      </c>
      <c r="G446" s="7">
        <v>0</v>
      </c>
      <c r="H446" s="7">
        <v>2953242</v>
      </c>
      <c r="J446" s="8" t="s">
        <v>48</v>
      </c>
      <c r="K446" s="8" t="str">
        <f>VLOOKUP(F446,'[1]121-CFT'!$I$6:$N$43,6,0)</f>
        <v>CFT</v>
      </c>
    </row>
    <row r="447" spans="1:11" x14ac:dyDescent="0.3">
      <c r="A447" s="8">
        <v>446</v>
      </c>
      <c r="B447" s="4" t="s">
        <v>312</v>
      </c>
      <c r="C447" s="4">
        <v>14</v>
      </c>
      <c r="D447" s="4">
        <v>7003390</v>
      </c>
      <c r="E447" s="5" t="s">
        <v>313</v>
      </c>
      <c r="F447" s="6">
        <v>892500</v>
      </c>
      <c r="G447" s="7">
        <v>0</v>
      </c>
      <c r="H447" s="7">
        <v>2060742</v>
      </c>
      <c r="J447" s="8" t="s">
        <v>48</v>
      </c>
      <c r="K447" s="8" t="str">
        <f>VLOOKUP(F447,'[1]141-Coquimbo'!$H$2:$M$26,6,0)</f>
        <v>Coquimbo Muebles</v>
      </c>
    </row>
    <row r="448" spans="1:11" x14ac:dyDescent="0.3">
      <c r="A448" s="8">
        <v>447</v>
      </c>
      <c r="B448" s="4" t="s">
        <v>312</v>
      </c>
      <c r="C448" s="4">
        <v>14</v>
      </c>
      <c r="D448" s="4">
        <v>7003403</v>
      </c>
      <c r="E448" s="5" t="s">
        <v>313</v>
      </c>
      <c r="F448" s="6">
        <v>71400</v>
      </c>
      <c r="G448" s="7">
        <v>0</v>
      </c>
      <c r="H448" s="7">
        <v>1989342</v>
      </c>
      <c r="J448" s="8" t="s">
        <v>48</v>
      </c>
      <c r="K448" s="8" t="str">
        <f>VLOOKUP(F448,'[1]145-Lago Verde'!$J$3:$O$73,6,0)</f>
        <v>Lago Verde</v>
      </c>
    </row>
    <row r="449" spans="1:11" x14ac:dyDescent="0.3">
      <c r="A449" s="8">
        <v>448</v>
      </c>
      <c r="B449" s="4" t="s">
        <v>312</v>
      </c>
      <c r="C449" s="4">
        <v>14</v>
      </c>
      <c r="D449" s="4">
        <v>4036217</v>
      </c>
      <c r="E449" s="5" t="s">
        <v>36</v>
      </c>
      <c r="F449" s="6">
        <v>40450</v>
      </c>
      <c r="G449" s="7">
        <v>0</v>
      </c>
      <c r="H449" s="7">
        <v>1948892</v>
      </c>
      <c r="J449" s="8" t="s">
        <v>48</v>
      </c>
      <c r="K449" s="8" t="e">
        <f>VLOOKUP(F449,'[2]Cartola 05-2026'!$J$2:$S$85,10,0)</f>
        <v>#N/A</v>
      </c>
    </row>
    <row r="450" spans="1:11" x14ac:dyDescent="0.3">
      <c r="A450" s="8">
        <v>449</v>
      </c>
      <c r="B450" s="4" t="s">
        <v>312</v>
      </c>
      <c r="C450" s="4">
        <v>14</v>
      </c>
      <c r="D450" s="4">
        <v>4913063</v>
      </c>
      <c r="E450" s="5" t="s">
        <v>314</v>
      </c>
      <c r="F450" s="6">
        <v>16000</v>
      </c>
      <c r="G450" s="7">
        <v>0</v>
      </c>
      <c r="H450" s="7">
        <v>1932892</v>
      </c>
      <c r="J450" s="8" t="s">
        <v>315</v>
      </c>
      <c r="K450" s="8" t="e">
        <f>VLOOKUP(F450,'[2]Cartola 05-2026'!$J$2:$S$85,10,0)</f>
        <v>#N/A</v>
      </c>
    </row>
    <row r="451" spans="1:11" x14ac:dyDescent="0.3">
      <c r="A451" s="8">
        <v>450</v>
      </c>
      <c r="B451" s="4" t="s">
        <v>312</v>
      </c>
      <c r="C451" s="4">
        <v>14</v>
      </c>
      <c r="D451" s="4">
        <v>4913063</v>
      </c>
      <c r="E451" s="5" t="s">
        <v>314</v>
      </c>
      <c r="F451" s="6">
        <v>4800</v>
      </c>
      <c r="G451" s="7">
        <v>0</v>
      </c>
      <c r="H451" s="7">
        <v>1928092</v>
      </c>
      <c r="J451" s="8" t="s">
        <v>315</v>
      </c>
      <c r="K451" s="8" t="e">
        <f>VLOOKUP(F451,'[2]Cartola 05-2026'!$J$2:$S$85,10,0)</f>
        <v>#N/A</v>
      </c>
    </row>
    <row r="452" spans="1:11" x14ac:dyDescent="0.3">
      <c r="A452" s="8">
        <v>451</v>
      </c>
      <c r="B452" s="4" t="s">
        <v>312</v>
      </c>
      <c r="C452" s="4">
        <v>14</v>
      </c>
      <c r="D452" s="4">
        <v>4922605</v>
      </c>
      <c r="E452" s="5" t="s">
        <v>316</v>
      </c>
      <c r="F452" s="6">
        <v>109404</v>
      </c>
      <c r="G452" s="7">
        <v>0</v>
      </c>
      <c r="H452" s="7">
        <v>1818688</v>
      </c>
      <c r="J452" s="8" t="s">
        <v>315</v>
      </c>
      <c r="K452" s="8" t="e">
        <f>VLOOKUP(F452,'[2]Cartola 05-2026'!$J$2:$S$85,10,0)</f>
        <v>#N/A</v>
      </c>
    </row>
    <row r="453" spans="1:11" x14ac:dyDescent="0.3">
      <c r="A453" s="8">
        <v>452</v>
      </c>
      <c r="B453" s="4" t="s">
        <v>312</v>
      </c>
      <c r="C453" s="4">
        <v>14</v>
      </c>
      <c r="D453" s="4">
        <v>4922605</v>
      </c>
      <c r="E453" s="5" t="s">
        <v>316</v>
      </c>
      <c r="F453" s="6">
        <v>113551</v>
      </c>
      <c r="G453" s="7">
        <v>0</v>
      </c>
      <c r="H453" s="7">
        <v>1705137</v>
      </c>
      <c r="J453" s="8" t="s">
        <v>315</v>
      </c>
      <c r="K453" s="8" t="e">
        <f>VLOOKUP(F453,'[2]Cartola 05-2026'!$J$2:$S$85,10,0)</f>
        <v>#N/A</v>
      </c>
    </row>
    <row r="454" spans="1:11" x14ac:dyDescent="0.3">
      <c r="A454" s="8">
        <v>453</v>
      </c>
      <c r="B454" s="4" t="s">
        <v>317</v>
      </c>
      <c r="C454" s="4">
        <v>14</v>
      </c>
      <c r="D454" s="4">
        <v>1188799</v>
      </c>
      <c r="E454" s="5" t="s">
        <v>67</v>
      </c>
      <c r="F454" s="6">
        <v>6500</v>
      </c>
      <c r="G454" s="7">
        <v>0</v>
      </c>
      <c r="H454" s="7">
        <v>1698637</v>
      </c>
      <c r="J454" s="8" t="s">
        <v>68</v>
      </c>
      <c r="K454" s="8" t="e">
        <f>VLOOKUP(F454,'[2]Cartola 05-2026'!$J$2:$S$85,10,0)</f>
        <v>#N/A</v>
      </c>
    </row>
    <row r="455" spans="1:11" x14ac:dyDescent="0.3">
      <c r="A455" s="8">
        <v>454</v>
      </c>
      <c r="B455" s="4" t="s">
        <v>317</v>
      </c>
      <c r="C455" s="4">
        <v>14</v>
      </c>
      <c r="D455" s="4">
        <v>1458</v>
      </c>
      <c r="E455" s="5" t="s">
        <v>26</v>
      </c>
      <c r="F455" s="6">
        <v>5311</v>
      </c>
      <c r="G455" s="7">
        <v>0</v>
      </c>
      <c r="H455" s="7">
        <v>1693326</v>
      </c>
      <c r="J455" s="8" t="s">
        <v>48</v>
      </c>
      <c r="K455" s="8" t="e">
        <f>VLOOKUP(F455,'[2]Cartola 05-2026'!$J$2:$S$85,10,0)</f>
        <v>#N/A</v>
      </c>
    </row>
    <row r="456" spans="1:11" x14ac:dyDescent="0.3">
      <c r="A456" s="8">
        <v>455</v>
      </c>
      <c r="B456" s="4" t="s">
        <v>317</v>
      </c>
      <c r="C456" s="4">
        <v>14</v>
      </c>
      <c r="D456" s="4">
        <v>7019627</v>
      </c>
      <c r="E456" s="5" t="s">
        <v>194</v>
      </c>
      <c r="F456" s="6">
        <v>291976</v>
      </c>
      <c r="G456" s="7">
        <v>0</v>
      </c>
      <c r="H456" s="7">
        <v>1401350</v>
      </c>
      <c r="J456" s="8" t="s">
        <v>176</v>
      </c>
      <c r="K456" s="8" t="e">
        <f>VLOOKUP(F456,'[2]Cartola 05-2026'!$J$2:$S$85,10,0)</f>
        <v>#N/A</v>
      </c>
    </row>
    <row r="457" spans="1:11" x14ac:dyDescent="0.3">
      <c r="A457" s="8">
        <v>456</v>
      </c>
      <c r="B457" s="4" t="s">
        <v>317</v>
      </c>
      <c r="C457" s="4">
        <v>14</v>
      </c>
      <c r="D457" s="4">
        <v>7069350</v>
      </c>
      <c r="E457" s="5" t="s">
        <v>19</v>
      </c>
      <c r="F457" s="6">
        <v>49060</v>
      </c>
      <c r="G457" s="7">
        <v>0</v>
      </c>
      <c r="H457" s="7">
        <v>1352290</v>
      </c>
      <c r="J457" s="8" t="s">
        <v>48</v>
      </c>
      <c r="K457" s="8" t="e">
        <f>VLOOKUP(F457,'[2]Cartola 05-2026'!$J$2:$S$85,10,0)</f>
        <v>#N/A</v>
      </c>
    </row>
    <row r="458" spans="1:11" x14ac:dyDescent="0.3">
      <c r="A458" s="8">
        <v>457</v>
      </c>
      <c r="B458" s="4" t="s">
        <v>318</v>
      </c>
      <c r="C458" s="4">
        <v>14</v>
      </c>
      <c r="D458" s="4">
        <v>4488031</v>
      </c>
      <c r="E458" s="5" t="s">
        <v>50</v>
      </c>
      <c r="F458" s="6">
        <v>12995</v>
      </c>
      <c r="G458" s="7">
        <v>0</v>
      </c>
      <c r="H458" s="7">
        <v>1339295</v>
      </c>
      <c r="J458" s="8" t="s">
        <v>48</v>
      </c>
      <c r="K458" s="8" t="str">
        <f>VLOOKUP(F458,'[1]145-Lago Verde'!$J$3:$O$73,6,0)</f>
        <v>Lago Verde</v>
      </c>
    </row>
    <row r="459" spans="1:11" x14ac:dyDescent="0.3">
      <c r="A459" s="8">
        <v>458</v>
      </c>
      <c r="B459" s="4" t="s">
        <v>318</v>
      </c>
      <c r="C459" s="4">
        <v>14</v>
      </c>
      <c r="D459" s="4">
        <v>4488031</v>
      </c>
      <c r="E459" s="5" t="s">
        <v>50</v>
      </c>
      <c r="F459" s="6">
        <v>37961</v>
      </c>
      <c r="G459" s="7">
        <v>0</v>
      </c>
      <c r="H459" s="7">
        <v>1301334</v>
      </c>
      <c r="J459" s="8" t="s">
        <v>48</v>
      </c>
      <c r="K459" s="8" t="str">
        <f>VLOOKUP(F459,'[1]145-Lago Verde'!$J$3:$O$73,6,0)</f>
        <v>Lago Verde</v>
      </c>
    </row>
    <row r="460" spans="1:11" x14ac:dyDescent="0.3">
      <c r="A460" s="8">
        <v>459</v>
      </c>
      <c r="B460" s="4" t="s">
        <v>318</v>
      </c>
      <c r="C460" s="4">
        <v>14</v>
      </c>
      <c r="D460" s="4">
        <v>4519061</v>
      </c>
      <c r="E460" s="5" t="s">
        <v>50</v>
      </c>
      <c r="F460" s="6">
        <v>720</v>
      </c>
      <c r="G460" s="7">
        <v>0</v>
      </c>
      <c r="H460" s="7">
        <v>1300614</v>
      </c>
      <c r="J460" s="8" t="s">
        <v>48</v>
      </c>
      <c r="K460" s="8" t="e">
        <f>VLOOKUP(F460,'[2]Cartola 05-2026'!$J$2:$S$85,10,0)</f>
        <v>#N/A</v>
      </c>
    </row>
    <row r="461" spans="1:11" x14ac:dyDescent="0.3">
      <c r="A461" s="8">
        <v>444</v>
      </c>
      <c r="B461" s="4" t="s">
        <v>312</v>
      </c>
      <c r="C461" s="4">
        <v>14</v>
      </c>
      <c r="D461" s="4">
        <v>4407983</v>
      </c>
      <c r="E461" s="5" t="s">
        <v>155</v>
      </c>
      <c r="F461" s="6">
        <v>20900</v>
      </c>
      <c r="G461" s="7">
        <v>0</v>
      </c>
      <c r="H461" s="7">
        <v>2972841</v>
      </c>
      <c r="J461" s="8" t="s">
        <v>48</v>
      </c>
      <c r="K461" s="8">
        <v>0</v>
      </c>
    </row>
    <row r="462" spans="1:11" x14ac:dyDescent="0.3">
      <c r="A462" s="8">
        <v>461</v>
      </c>
      <c r="B462" s="4" t="s">
        <v>318</v>
      </c>
      <c r="C462" s="4">
        <v>14</v>
      </c>
      <c r="D462" s="4">
        <v>7055168</v>
      </c>
      <c r="E462" s="5" t="s">
        <v>102</v>
      </c>
      <c r="F462" s="6">
        <v>236239</v>
      </c>
      <c r="G462" s="7">
        <v>0</v>
      </c>
      <c r="H462" s="7">
        <v>1057385</v>
      </c>
      <c r="J462" s="8" t="s">
        <v>48</v>
      </c>
      <c r="K462" s="8" t="str">
        <f>VLOOKUP(F462,'[1]121-CFT'!$I$6:$N$43,6,0)</f>
        <v>CFT</v>
      </c>
    </row>
    <row r="463" spans="1:11" x14ac:dyDescent="0.3">
      <c r="A463" s="8">
        <v>462</v>
      </c>
      <c r="B463" s="4" t="s">
        <v>318</v>
      </c>
      <c r="C463" s="4">
        <v>14</v>
      </c>
      <c r="D463" s="4">
        <v>7055169</v>
      </c>
      <c r="E463" s="5" t="s">
        <v>235</v>
      </c>
      <c r="F463" s="6">
        <v>230698</v>
      </c>
      <c r="G463" s="7">
        <v>0</v>
      </c>
      <c r="H463" s="7">
        <v>826687</v>
      </c>
      <c r="J463" s="8" t="s">
        <v>48</v>
      </c>
      <c r="K463" s="8" t="str">
        <f>VLOOKUP(F463,'[1]121-CFT'!$I$6:$N$43,6,0)</f>
        <v>CFT</v>
      </c>
    </row>
    <row r="464" spans="1:11" x14ac:dyDescent="0.3">
      <c r="A464" s="8">
        <v>463</v>
      </c>
      <c r="B464" s="4" t="s">
        <v>318</v>
      </c>
      <c r="C464" s="4">
        <v>14</v>
      </c>
      <c r="D464" s="4">
        <v>7057303</v>
      </c>
      <c r="E464" s="5" t="s">
        <v>319</v>
      </c>
      <c r="F464" s="6">
        <v>241491</v>
      </c>
      <c r="G464" s="7">
        <v>0</v>
      </c>
      <c r="H464" s="7">
        <v>585196</v>
      </c>
      <c r="J464" s="8" t="s">
        <v>48</v>
      </c>
      <c r="K464" s="8" t="s">
        <v>501</v>
      </c>
    </row>
    <row r="465" spans="1:11" x14ac:dyDescent="0.3">
      <c r="A465" s="8">
        <v>464</v>
      </c>
      <c r="B465" s="4" t="s">
        <v>320</v>
      </c>
      <c r="C465" s="4">
        <v>14</v>
      </c>
      <c r="D465" s="4">
        <v>3590649</v>
      </c>
      <c r="E465" s="5" t="s">
        <v>321</v>
      </c>
      <c r="F465" s="6">
        <v>52133</v>
      </c>
      <c r="G465" s="7">
        <v>0</v>
      </c>
      <c r="H465" s="7">
        <v>533063</v>
      </c>
      <c r="J465" s="8" t="s">
        <v>48</v>
      </c>
      <c r="K465" s="8" t="e">
        <f>VLOOKUP(F465,'[2]Cartola 05-2026'!$J$2:$S$85,10,0)</f>
        <v>#N/A</v>
      </c>
    </row>
    <row r="466" spans="1:11" x14ac:dyDescent="0.3">
      <c r="A466" s="8">
        <v>465</v>
      </c>
      <c r="B466" s="4" t="s">
        <v>320</v>
      </c>
      <c r="C466" s="4">
        <v>14</v>
      </c>
      <c r="D466" s="4">
        <v>4517720</v>
      </c>
      <c r="E466" s="5" t="s">
        <v>50</v>
      </c>
      <c r="F466" s="6">
        <v>158</v>
      </c>
      <c r="G466" s="7">
        <v>0</v>
      </c>
      <c r="H466" s="7">
        <v>532905</v>
      </c>
      <c r="J466" s="8" t="s">
        <v>48</v>
      </c>
      <c r="K466" s="8" t="e">
        <f>VLOOKUP(F466,'[2]Cartola 05-2026'!$J$2:$S$85,10,0)</f>
        <v>#N/A</v>
      </c>
    </row>
    <row r="467" spans="1:11" x14ac:dyDescent="0.3">
      <c r="A467" s="8">
        <v>466</v>
      </c>
      <c r="B467" s="4" t="s">
        <v>320</v>
      </c>
      <c r="C467" s="4">
        <v>14</v>
      </c>
      <c r="D467" s="4">
        <v>4774636</v>
      </c>
      <c r="E467" s="5" t="s">
        <v>62</v>
      </c>
      <c r="F467" s="6">
        <v>12828</v>
      </c>
      <c r="G467" s="7">
        <v>0</v>
      </c>
      <c r="H467" s="7">
        <v>520077</v>
      </c>
      <c r="J467" s="8" t="s">
        <v>48</v>
      </c>
      <c r="K467" s="8" t="e">
        <f>VLOOKUP(F467,'[2]Cartola 05-2026'!$J$2:$S$85,10,0)</f>
        <v>#N/A</v>
      </c>
    </row>
    <row r="468" spans="1:11" x14ac:dyDescent="0.3">
      <c r="A468" s="8">
        <v>467</v>
      </c>
      <c r="B468" s="4" t="s">
        <v>320</v>
      </c>
      <c r="C468" s="4">
        <v>14</v>
      </c>
      <c r="D468" s="4">
        <v>2919050</v>
      </c>
      <c r="E468" s="5" t="s">
        <v>246</v>
      </c>
      <c r="F468" s="6">
        <v>35413</v>
      </c>
      <c r="G468" s="7">
        <v>0</v>
      </c>
      <c r="H468" s="7">
        <v>484664</v>
      </c>
      <c r="J468" s="8" t="s">
        <v>48</v>
      </c>
      <c r="K468" s="8" t="e">
        <f>VLOOKUP(F468,'[2]Cartola 05-2026'!$J$2:$S$85,10,0)</f>
        <v>#N/A</v>
      </c>
    </row>
    <row r="469" spans="1:11" x14ac:dyDescent="0.3">
      <c r="A469" s="8">
        <v>468</v>
      </c>
      <c r="B469" s="4" t="s">
        <v>320</v>
      </c>
      <c r="C469" s="4">
        <v>14</v>
      </c>
      <c r="D469" s="4">
        <v>4857136</v>
      </c>
      <c r="E469" s="5" t="s">
        <v>322</v>
      </c>
      <c r="F469" s="6">
        <v>2365</v>
      </c>
      <c r="G469" s="7">
        <v>0</v>
      </c>
      <c r="H469" s="7">
        <v>482299</v>
      </c>
      <c r="J469" s="8" t="s">
        <v>48</v>
      </c>
      <c r="K469" s="8" t="e">
        <f>VLOOKUP(F469,'[2]Cartola 05-2026'!$J$2:$S$85,10,0)</f>
        <v>#N/A</v>
      </c>
    </row>
    <row r="470" spans="1:11" ht="14.4" thickBot="1" x14ac:dyDescent="0.35">
      <c r="A470" s="8">
        <v>460</v>
      </c>
      <c r="B470" s="4" t="s">
        <v>318</v>
      </c>
      <c r="C470" s="4">
        <v>14</v>
      </c>
      <c r="D470" s="4">
        <v>1086273</v>
      </c>
      <c r="E470" s="5" t="s">
        <v>126</v>
      </c>
      <c r="F470" s="6">
        <v>6990</v>
      </c>
      <c r="G470" s="7">
        <v>0</v>
      </c>
      <c r="H470" s="7">
        <v>1293624</v>
      </c>
      <c r="J470" s="8" t="s">
        <v>48</v>
      </c>
      <c r="K470" s="8">
        <v>0</v>
      </c>
    </row>
    <row r="471" spans="1:11" ht="15" x14ac:dyDescent="0.35">
      <c r="A471" s="8">
        <v>470</v>
      </c>
      <c r="B471" s="4" t="s">
        <v>323</v>
      </c>
      <c r="C471" s="4">
        <v>14</v>
      </c>
      <c r="D471" s="4">
        <v>4702682</v>
      </c>
      <c r="E471" s="5" t="s">
        <v>83</v>
      </c>
      <c r="F471" s="6">
        <v>45980</v>
      </c>
      <c r="G471" s="7">
        <v>0</v>
      </c>
      <c r="H471" s="7">
        <v>7436319</v>
      </c>
      <c r="J471" s="8" t="s">
        <v>48</v>
      </c>
      <c r="K471" s="13" t="s">
        <v>475</v>
      </c>
    </row>
    <row r="472" spans="1:11" x14ac:dyDescent="0.3">
      <c r="A472" s="8">
        <v>471</v>
      </c>
      <c r="B472" s="4" t="s">
        <v>323</v>
      </c>
      <c r="C472" s="4">
        <v>14</v>
      </c>
      <c r="D472" s="4">
        <v>7015944</v>
      </c>
      <c r="E472" s="5" t="s">
        <v>324</v>
      </c>
      <c r="F472" s="6">
        <v>1000000</v>
      </c>
      <c r="G472" s="7">
        <v>0</v>
      </c>
      <c r="H472" s="7">
        <v>6436319</v>
      </c>
      <c r="J472" s="8" t="s">
        <v>48</v>
      </c>
      <c r="K472" s="8" t="str">
        <f>VLOOKUP(F472,'[1]147-Melipilla'!$I$8:$N$13,6,0)</f>
        <v>Melipilla</v>
      </c>
    </row>
    <row r="473" spans="1:11" x14ac:dyDescent="0.3">
      <c r="A473" s="8">
        <v>469</v>
      </c>
      <c r="B473" s="4" t="s">
        <v>323</v>
      </c>
      <c r="C473" s="4">
        <v>14</v>
      </c>
      <c r="D473" s="4">
        <v>1077</v>
      </c>
      <c r="E473" s="5" t="s">
        <v>12</v>
      </c>
      <c r="F473" s="6">
        <v>0</v>
      </c>
      <c r="G473" s="7">
        <v>7000000</v>
      </c>
      <c r="H473" s="7">
        <v>7482299</v>
      </c>
      <c r="J473" s="8" t="s">
        <v>13</v>
      </c>
      <c r="K473" s="8">
        <v>0</v>
      </c>
    </row>
    <row r="474" spans="1:11" x14ac:dyDescent="0.3">
      <c r="A474" s="8">
        <v>473</v>
      </c>
      <c r="B474" s="4" t="s">
        <v>323</v>
      </c>
      <c r="C474" s="4">
        <v>14</v>
      </c>
      <c r="D474" s="4">
        <v>4036217</v>
      </c>
      <c r="E474" s="5" t="s">
        <v>36</v>
      </c>
      <c r="F474" s="6">
        <v>39063</v>
      </c>
      <c r="G474" s="7">
        <v>0</v>
      </c>
      <c r="H474" s="7">
        <v>6357256</v>
      </c>
      <c r="J474" s="8" t="s">
        <v>48</v>
      </c>
      <c r="K474" s="8" t="e">
        <f>VLOOKUP(F474,'[2]Cartola 05-2026'!$J$2:$S$85,10,0)</f>
        <v>#N/A</v>
      </c>
    </row>
    <row r="475" spans="1:11" x14ac:dyDescent="0.3">
      <c r="A475" s="8">
        <v>474</v>
      </c>
      <c r="B475" s="4" t="s">
        <v>323</v>
      </c>
      <c r="C475" s="4">
        <v>14</v>
      </c>
      <c r="D475" s="4">
        <v>7027482</v>
      </c>
      <c r="E475" s="5" t="s">
        <v>324</v>
      </c>
      <c r="F475" s="6">
        <v>3105500</v>
      </c>
      <c r="G475" s="7">
        <v>0</v>
      </c>
      <c r="H475" s="7">
        <v>3251756</v>
      </c>
      <c r="J475" s="8" t="s">
        <v>48</v>
      </c>
      <c r="K475" s="8" t="str">
        <f>VLOOKUP(F475,'[1]147-Melipilla'!$I$8:$N$13,6,0)</f>
        <v>Melipilla</v>
      </c>
    </row>
    <row r="476" spans="1:11" x14ac:dyDescent="0.3">
      <c r="A476" s="8">
        <v>475</v>
      </c>
      <c r="B476" s="4" t="s">
        <v>323</v>
      </c>
      <c r="C476" s="4">
        <v>14</v>
      </c>
      <c r="D476" s="4">
        <v>7080343</v>
      </c>
      <c r="E476" s="5" t="s">
        <v>326</v>
      </c>
      <c r="F476" s="6">
        <v>35688</v>
      </c>
      <c r="G476" s="7">
        <v>0</v>
      </c>
      <c r="H476" s="7">
        <v>3216068</v>
      </c>
      <c r="J476" s="8" t="s">
        <v>48</v>
      </c>
      <c r="K476" s="8" t="e">
        <f>VLOOKUP(F476,'[2]Cartola 05-2026'!$J$2:$S$85,10,0)</f>
        <v>#N/A</v>
      </c>
    </row>
    <row r="477" spans="1:11" x14ac:dyDescent="0.3">
      <c r="A477" s="8">
        <v>472</v>
      </c>
      <c r="B477" s="4" t="s">
        <v>323</v>
      </c>
      <c r="C477" s="4">
        <v>14</v>
      </c>
      <c r="D477" s="4"/>
      <c r="E477" s="5" t="s">
        <v>325</v>
      </c>
      <c r="F477" s="6">
        <v>40000</v>
      </c>
      <c r="G477" s="7">
        <v>0</v>
      </c>
      <c r="H477" s="7">
        <v>6396319</v>
      </c>
      <c r="J477" s="8" t="s">
        <v>54</v>
      </c>
      <c r="K477" s="8">
        <v>0</v>
      </c>
    </row>
    <row r="478" spans="1:11" x14ac:dyDescent="0.3">
      <c r="A478" s="8">
        <v>477</v>
      </c>
      <c r="B478" s="4" t="s">
        <v>327</v>
      </c>
      <c r="C478" s="4">
        <v>14</v>
      </c>
      <c r="D478" s="4">
        <v>1084259</v>
      </c>
      <c r="E478" s="5" t="s">
        <v>44</v>
      </c>
      <c r="F478" s="6">
        <v>49960</v>
      </c>
      <c r="G478" s="7">
        <v>0</v>
      </c>
      <c r="H478" s="7">
        <v>3416108</v>
      </c>
      <c r="J478" s="8" t="s">
        <v>48</v>
      </c>
      <c r="K478" s="8" t="e">
        <f>VLOOKUP(F478,'[2]Cartola 05-2026'!$J$2:$S$85,10,0)</f>
        <v>#N/A</v>
      </c>
    </row>
    <row r="479" spans="1:11" x14ac:dyDescent="0.3">
      <c r="A479" s="8">
        <v>476</v>
      </c>
      <c r="B479" s="4" t="s">
        <v>327</v>
      </c>
      <c r="C479" s="4">
        <v>14</v>
      </c>
      <c r="D479" s="4">
        <v>7052871</v>
      </c>
      <c r="E479" s="5" t="s">
        <v>328</v>
      </c>
      <c r="F479" s="6">
        <v>0</v>
      </c>
      <c r="G479" s="7">
        <v>250000</v>
      </c>
      <c r="H479" s="7">
        <v>3466068</v>
      </c>
      <c r="J479" s="9" t="s">
        <v>290</v>
      </c>
      <c r="K479" s="8">
        <v>0</v>
      </c>
    </row>
    <row r="480" spans="1:11" x14ac:dyDescent="0.3">
      <c r="A480" s="8">
        <v>478</v>
      </c>
      <c r="B480" s="4" t="s">
        <v>329</v>
      </c>
      <c r="C480" s="4">
        <v>14</v>
      </c>
      <c r="D480" s="4">
        <v>7014052</v>
      </c>
      <c r="E480" s="5" t="s">
        <v>328</v>
      </c>
      <c r="F480" s="6">
        <v>0</v>
      </c>
      <c r="G480" s="7">
        <v>80000</v>
      </c>
      <c r="H480" s="7">
        <v>3496108</v>
      </c>
      <c r="J480" s="9" t="s">
        <v>290</v>
      </c>
      <c r="K480" s="8">
        <v>0</v>
      </c>
    </row>
    <row r="481" spans="1:11" x14ac:dyDescent="0.3">
      <c r="A481" s="8">
        <v>480</v>
      </c>
      <c r="B481" s="4" t="s">
        <v>331</v>
      </c>
      <c r="C481" s="4">
        <v>15</v>
      </c>
      <c r="D481" s="4">
        <v>7014816</v>
      </c>
      <c r="E481" s="5" t="s">
        <v>332</v>
      </c>
      <c r="F481" s="6">
        <v>0</v>
      </c>
      <c r="G481" s="7">
        <v>1000000</v>
      </c>
      <c r="H481" s="7">
        <v>4466108</v>
      </c>
      <c r="J481" s="9" t="s">
        <v>290</v>
      </c>
      <c r="K481" s="8" t="s">
        <v>476</v>
      </c>
    </row>
    <row r="482" spans="1:11" x14ac:dyDescent="0.3">
      <c r="A482" s="8">
        <v>481</v>
      </c>
      <c r="B482" s="4" t="s">
        <v>331</v>
      </c>
      <c r="C482" s="4">
        <v>15</v>
      </c>
      <c r="D482" s="4">
        <v>1077</v>
      </c>
      <c r="E482" s="5" t="s">
        <v>9</v>
      </c>
      <c r="F482" s="6">
        <v>0</v>
      </c>
      <c r="G482" s="7">
        <v>127599</v>
      </c>
      <c r="H482" s="7">
        <v>4593707</v>
      </c>
      <c r="J482" s="9" t="s">
        <v>290</v>
      </c>
      <c r="K482" s="8" t="s">
        <v>476</v>
      </c>
    </row>
    <row r="483" spans="1:11" x14ac:dyDescent="0.3">
      <c r="A483" s="8">
        <v>482</v>
      </c>
      <c r="B483" s="4" t="s">
        <v>331</v>
      </c>
      <c r="C483" s="4">
        <v>15</v>
      </c>
      <c r="D483" s="4">
        <v>4036217</v>
      </c>
      <c r="E483" s="5" t="s">
        <v>36</v>
      </c>
      <c r="F483" s="6">
        <v>42167</v>
      </c>
      <c r="G483" s="7">
        <v>0</v>
      </c>
      <c r="H483" s="7">
        <v>4551540</v>
      </c>
      <c r="J483" s="8" t="s">
        <v>48</v>
      </c>
      <c r="K483" s="8" t="s">
        <v>476</v>
      </c>
    </row>
    <row r="484" spans="1:11" x14ac:dyDescent="0.3">
      <c r="A484" s="8">
        <v>483</v>
      </c>
      <c r="B484" s="4" t="s">
        <v>333</v>
      </c>
      <c r="C484" s="4">
        <v>15</v>
      </c>
      <c r="D484" s="4">
        <v>1077</v>
      </c>
      <c r="E484" s="5" t="s">
        <v>12</v>
      </c>
      <c r="F484" s="6">
        <v>0</v>
      </c>
      <c r="G484" s="7">
        <v>7000000</v>
      </c>
      <c r="H484" s="7">
        <v>11551540</v>
      </c>
      <c r="J484" s="8" t="s">
        <v>13</v>
      </c>
      <c r="K484" s="8" t="s">
        <v>476</v>
      </c>
    </row>
    <row r="485" spans="1:11" x14ac:dyDescent="0.3">
      <c r="A485" s="8">
        <v>484</v>
      </c>
      <c r="B485" s="4" t="s">
        <v>333</v>
      </c>
      <c r="C485" s="4">
        <v>15</v>
      </c>
      <c r="D485" s="4">
        <v>7079020</v>
      </c>
      <c r="E485" s="5" t="s">
        <v>334</v>
      </c>
      <c r="F485" s="6">
        <v>226100</v>
      </c>
      <c r="G485" s="7">
        <v>0</v>
      </c>
      <c r="H485" s="7">
        <v>11325440</v>
      </c>
      <c r="J485" s="8" t="s">
        <v>48</v>
      </c>
      <c r="K485" s="8" t="s">
        <v>476</v>
      </c>
    </row>
    <row r="486" spans="1:11" x14ac:dyDescent="0.3">
      <c r="A486" s="8">
        <v>485</v>
      </c>
      <c r="B486" s="4" t="s">
        <v>333</v>
      </c>
      <c r="C486" s="4">
        <v>15</v>
      </c>
      <c r="D486" s="4">
        <v>7071562</v>
      </c>
      <c r="E486" s="5" t="s">
        <v>163</v>
      </c>
      <c r="F486" s="6">
        <v>261800</v>
      </c>
      <c r="G486" s="7">
        <v>0</v>
      </c>
      <c r="H486" s="7">
        <v>11063640</v>
      </c>
      <c r="J486" s="8" t="s">
        <v>48</v>
      </c>
      <c r="K486" s="8" t="s">
        <v>476</v>
      </c>
    </row>
    <row r="487" spans="1:11" x14ac:dyDescent="0.3">
      <c r="A487" s="8">
        <v>486</v>
      </c>
      <c r="B487" s="4" t="s">
        <v>333</v>
      </c>
      <c r="C487" s="4">
        <v>15</v>
      </c>
      <c r="D487" s="4">
        <v>7087457</v>
      </c>
      <c r="E487" s="5" t="s">
        <v>335</v>
      </c>
      <c r="F487" s="6">
        <v>345100</v>
      </c>
      <c r="G487" s="7">
        <v>0</v>
      </c>
      <c r="H487" s="7">
        <v>10718540</v>
      </c>
      <c r="J487" s="8" t="s">
        <v>48</v>
      </c>
      <c r="K487" s="8" t="s">
        <v>476</v>
      </c>
    </row>
    <row r="488" spans="1:11" x14ac:dyDescent="0.3">
      <c r="A488" s="8">
        <v>487</v>
      </c>
      <c r="B488" s="4" t="s">
        <v>333</v>
      </c>
      <c r="C488" s="4">
        <v>15</v>
      </c>
      <c r="D488" s="4">
        <v>7071571</v>
      </c>
      <c r="E488" s="5" t="s">
        <v>336</v>
      </c>
      <c r="F488" s="6">
        <v>327657</v>
      </c>
      <c r="G488" s="7">
        <v>0</v>
      </c>
      <c r="H488" s="7">
        <v>10390883</v>
      </c>
      <c r="J488" s="8" t="s">
        <v>48</v>
      </c>
      <c r="K488" s="8" t="s">
        <v>476</v>
      </c>
    </row>
    <row r="489" spans="1:11" x14ac:dyDescent="0.3">
      <c r="A489" s="8">
        <v>488</v>
      </c>
      <c r="B489" s="4" t="s">
        <v>333</v>
      </c>
      <c r="C489" s="4">
        <v>15</v>
      </c>
      <c r="D489" s="4">
        <v>7071572</v>
      </c>
      <c r="E489" s="5" t="s">
        <v>211</v>
      </c>
      <c r="F489" s="6">
        <v>226081</v>
      </c>
      <c r="G489" s="7">
        <v>0</v>
      </c>
      <c r="H489" s="7">
        <v>10164802</v>
      </c>
      <c r="J489" s="8" t="s">
        <v>48</v>
      </c>
      <c r="K489" s="8" t="s">
        <v>476</v>
      </c>
    </row>
    <row r="490" spans="1:11" x14ac:dyDescent="0.3">
      <c r="A490" s="8">
        <v>489</v>
      </c>
      <c r="B490" s="4" t="s">
        <v>333</v>
      </c>
      <c r="C490" s="4">
        <v>15</v>
      </c>
      <c r="D490" s="4">
        <v>7083245</v>
      </c>
      <c r="E490" s="5" t="s">
        <v>337</v>
      </c>
      <c r="F490" s="6">
        <v>35514</v>
      </c>
      <c r="G490" s="7">
        <v>0</v>
      </c>
      <c r="H490" s="7">
        <v>10129288</v>
      </c>
      <c r="J490" s="8" t="s">
        <v>48</v>
      </c>
      <c r="K490" s="8" t="s">
        <v>476</v>
      </c>
    </row>
    <row r="491" spans="1:11" x14ac:dyDescent="0.3">
      <c r="A491" s="8">
        <v>490</v>
      </c>
      <c r="B491" s="4" t="s">
        <v>333</v>
      </c>
      <c r="C491" s="4">
        <v>15</v>
      </c>
      <c r="D491" s="4">
        <v>7080674</v>
      </c>
      <c r="E491" s="5" t="s">
        <v>338</v>
      </c>
      <c r="F491" s="6">
        <v>28915</v>
      </c>
      <c r="G491" s="7">
        <v>0</v>
      </c>
      <c r="H491" s="7">
        <v>10100373</v>
      </c>
      <c r="J491" s="8" t="s">
        <v>48</v>
      </c>
      <c r="K491" s="8" t="s">
        <v>476</v>
      </c>
    </row>
    <row r="492" spans="1:11" x14ac:dyDescent="0.3">
      <c r="A492" s="8">
        <v>491</v>
      </c>
      <c r="B492" s="4" t="s">
        <v>333</v>
      </c>
      <c r="C492" s="4">
        <v>15</v>
      </c>
      <c r="D492" s="4">
        <v>7071564</v>
      </c>
      <c r="E492" s="5" t="s">
        <v>169</v>
      </c>
      <c r="F492" s="6">
        <v>1140000</v>
      </c>
      <c r="G492" s="7">
        <v>0</v>
      </c>
      <c r="H492" s="7">
        <v>8960373</v>
      </c>
      <c r="J492" s="8" t="s">
        <v>48</v>
      </c>
      <c r="K492" s="8" t="s">
        <v>476</v>
      </c>
    </row>
    <row r="493" spans="1:11" x14ac:dyDescent="0.3">
      <c r="A493" s="8">
        <v>492</v>
      </c>
      <c r="B493" s="4" t="s">
        <v>333</v>
      </c>
      <c r="C493" s="4">
        <v>15</v>
      </c>
      <c r="D493" s="4">
        <v>7071565</v>
      </c>
      <c r="E493" s="5" t="s">
        <v>198</v>
      </c>
      <c r="F493" s="6">
        <v>381936</v>
      </c>
      <c r="G493" s="7">
        <v>0</v>
      </c>
      <c r="H493" s="7">
        <v>8578437</v>
      </c>
      <c r="J493" s="8" t="s">
        <v>48</v>
      </c>
      <c r="K493" s="8" t="s">
        <v>476</v>
      </c>
    </row>
    <row r="494" spans="1:11" x14ac:dyDescent="0.3">
      <c r="A494" s="8">
        <v>493</v>
      </c>
      <c r="B494" s="4" t="s">
        <v>333</v>
      </c>
      <c r="C494" s="4">
        <v>15</v>
      </c>
      <c r="D494" s="4">
        <v>7071573</v>
      </c>
      <c r="E494" s="5" t="s">
        <v>104</v>
      </c>
      <c r="F494" s="6">
        <v>193744</v>
      </c>
      <c r="G494" s="7">
        <v>0</v>
      </c>
      <c r="H494" s="7">
        <v>8384693</v>
      </c>
      <c r="J494" s="8" t="s">
        <v>48</v>
      </c>
      <c r="K494" s="8" t="s">
        <v>476</v>
      </c>
    </row>
    <row r="495" spans="1:11" x14ac:dyDescent="0.3">
      <c r="A495" s="8">
        <v>494</v>
      </c>
      <c r="B495" s="4" t="s">
        <v>333</v>
      </c>
      <c r="C495" s="4">
        <v>15</v>
      </c>
      <c r="D495" s="4">
        <v>7071566</v>
      </c>
      <c r="E495" s="5" t="s">
        <v>309</v>
      </c>
      <c r="F495" s="6">
        <v>991270</v>
      </c>
      <c r="G495" s="7">
        <v>0</v>
      </c>
      <c r="H495" s="7">
        <v>7393423</v>
      </c>
      <c r="J495" s="8" t="s">
        <v>48</v>
      </c>
      <c r="K495" s="8" t="s">
        <v>476</v>
      </c>
    </row>
    <row r="496" spans="1:11" x14ac:dyDescent="0.3">
      <c r="A496" s="8">
        <v>495</v>
      </c>
      <c r="B496" s="4" t="s">
        <v>333</v>
      </c>
      <c r="C496" s="4">
        <v>15</v>
      </c>
      <c r="D496" s="4">
        <v>4034520</v>
      </c>
      <c r="E496" s="5" t="s">
        <v>339</v>
      </c>
      <c r="F496" s="6">
        <v>17991</v>
      </c>
      <c r="G496" s="7">
        <v>0</v>
      </c>
      <c r="H496" s="7">
        <v>7375432</v>
      </c>
      <c r="J496" s="8" t="s">
        <v>48</v>
      </c>
      <c r="K496" s="8" t="s">
        <v>476</v>
      </c>
    </row>
    <row r="497" spans="1:11" x14ac:dyDescent="0.3">
      <c r="A497" s="8">
        <v>496</v>
      </c>
      <c r="B497" s="4" t="s">
        <v>333</v>
      </c>
      <c r="C497" s="4">
        <v>15</v>
      </c>
      <c r="D497" s="4">
        <v>4517720</v>
      </c>
      <c r="E497" s="5" t="s">
        <v>50</v>
      </c>
      <c r="F497" s="6">
        <v>237</v>
      </c>
      <c r="G497" s="7">
        <v>0</v>
      </c>
      <c r="H497" s="7">
        <v>7375195</v>
      </c>
      <c r="J497" s="8" t="s">
        <v>48</v>
      </c>
      <c r="K497" s="8" t="s">
        <v>476</v>
      </c>
    </row>
    <row r="498" spans="1:11" x14ac:dyDescent="0.3">
      <c r="A498" s="8">
        <v>497</v>
      </c>
      <c r="B498" s="4" t="s">
        <v>333</v>
      </c>
      <c r="C498" s="4">
        <v>15</v>
      </c>
      <c r="D498" s="4">
        <v>3992169</v>
      </c>
      <c r="E498" s="5" t="s">
        <v>60</v>
      </c>
      <c r="F498" s="6">
        <v>44062</v>
      </c>
      <c r="G498" s="7">
        <v>0</v>
      </c>
      <c r="H498" s="7">
        <v>7331133</v>
      </c>
      <c r="J498" s="8" t="s">
        <v>48</v>
      </c>
      <c r="K498" s="8" t="s">
        <v>476</v>
      </c>
    </row>
    <row r="499" spans="1:11" x14ac:dyDescent="0.3">
      <c r="A499" s="8">
        <v>498</v>
      </c>
      <c r="B499" s="4" t="s">
        <v>333</v>
      </c>
      <c r="C499" s="4">
        <v>15</v>
      </c>
      <c r="D499" s="4">
        <v>4692375</v>
      </c>
      <c r="E499" s="5" t="s">
        <v>340</v>
      </c>
      <c r="F499" s="6">
        <v>1050</v>
      </c>
      <c r="G499" s="7">
        <v>0</v>
      </c>
      <c r="H499" s="7">
        <v>7330083</v>
      </c>
      <c r="J499" s="8" t="s">
        <v>48</v>
      </c>
      <c r="K499" s="8" t="s">
        <v>476</v>
      </c>
    </row>
    <row r="500" spans="1:11" x14ac:dyDescent="0.3">
      <c r="A500" s="8">
        <v>499</v>
      </c>
      <c r="B500" s="4" t="s">
        <v>333</v>
      </c>
      <c r="C500" s="4">
        <v>15</v>
      </c>
      <c r="D500" s="4">
        <v>7052799</v>
      </c>
      <c r="E500" s="5" t="s">
        <v>19</v>
      </c>
      <c r="F500" s="6">
        <v>38990</v>
      </c>
      <c r="G500" s="7">
        <v>0</v>
      </c>
      <c r="H500" s="7">
        <v>7291093</v>
      </c>
      <c r="J500" s="8" t="s">
        <v>48</v>
      </c>
      <c r="K500" s="8" t="s">
        <v>476</v>
      </c>
    </row>
    <row r="501" spans="1:11" x14ac:dyDescent="0.3">
      <c r="A501" s="8">
        <v>500</v>
      </c>
      <c r="B501" s="4" t="s">
        <v>341</v>
      </c>
      <c r="C501" s="4">
        <v>15</v>
      </c>
      <c r="D501" s="4">
        <v>7093554</v>
      </c>
      <c r="E501" s="5" t="s">
        <v>342</v>
      </c>
      <c r="F501" s="6">
        <v>1000000</v>
      </c>
      <c r="G501" s="7">
        <v>0</v>
      </c>
      <c r="H501" s="7">
        <v>6291093</v>
      </c>
      <c r="J501" s="8" t="s">
        <v>48</v>
      </c>
      <c r="K501" s="8" t="s">
        <v>476</v>
      </c>
    </row>
    <row r="502" spans="1:11" x14ac:dyDescent="0.3">
      <c r="A502" s="8">
        <v>501</v>
      </c>
      <c r="B502" s="4" t="s">
        <v>341</v>
      </c>
      <c r="C502" s="4">
        <v>15</v>
      </c>
      <c r="D502" s="4">
        <v>7096293</v>
      </c>
      <c r="E502" s="5" t="s">
        <v>332</v>
      </c>
      <c r="F502" s="6">
        <v>0</v>
      </c>
      <c r="G502" s="7">
        <v>1855552</v>
      </c>
      <c r="H502" s="7">
        <v>8146645</v>
      </c>
      <c r="J502" s="9" t="s">
        <v>290</v>
      </c>
      <c r="K502" s="8" t="s">
        <v>476</v>
      </c>
    </row>
    <row r="503" spans="1:11" x14ac:dyDescent="0.3">
      <c r="A503" s="8">
        <v>479</v>
      </c>
      <c r="B503" s="4" t="s">
        <v>329</v>
      </c>
      <c r="C503" s="4">
        <v>14</v>
      </c>
      <c r="D503" s="4"/>
      <c r="E503" s="5" t="s">
        <v>330</v>
      </c>
      <c r="F503" s="6">
        <v>30000</v>
      </c>
      <c r="G503" s="7">
        <v>0</v>
      </c>
      <c r="H503" s="7">
        <v>3466108</v>
      </c>
      <c r="J503" s="8" t="s">
        <v>54</v>
      </c>
      <c r="K503" s="8">
        <v>0</v>
      </c>
    </row>
    <row r="504" spans="1:11" x14ac:dyDescent="0.3">
      <c r="A504" s="8">
        <v>503</v>
      </c>
      <c r="B504" s="4" t="s">
        <v>341</v>
      </c>
      <c r="C504" s="4">
        <v>15</v>
      </c>
      <c r="D504" s="4">
        <v>1084280</v>
      </c>
      <c r="E504" s="5" t="s">
        <v>16</v>
      </c>
      <c r="F504" s="6">
        <v>6451</v>
      </c>
      <c r="G504" s="7">
        <v>0</v>
      </c>
      <c r="H504" s="7">
        <v>8100194</v>
      </c>
      <c r="J504" s="8" t="s">
        <v>48</v>
      </c>
      <c r="K504" s="8" t="e">
        <f>VLOOKUP(F504,'[2]Cartola 05-2026'!$J$2:$S$85,10,0)</f>
        <v>#N/A</v>
      </c>
    </row>
    <row r="505" spans="1:11" x14ac:dyDescent="0.3">
      <c r="A505" s="8">
        <v>504</v>
      </c>
      <c r="B505" s="4" t="s">
        <v>341</v>
      </c>
      <c r="C505" s="4">
        <v>15</v>
      </c>
      <c r="D505" s="4">
        <v>4519061</v>
      </c>
      <c r="E505" s="5" t="s">
        <v>50</v>
      </c>
      <c r="F505" s="6">
        <v>1800</v>
      </c>
      <c r="G505" s="7">
        <v>0</v>
      </c>
      <c r="H505" s="7">
        <v>8098394</v>
      </c>
      <c r="J505" s="8" t="s">
        <v>48</v>
      </c>
      <c r="K505" s="8" t="e">
        <f>VLOOKUP(F505,'[2]Cartola 05-2026'!$J$2:$S$85,10,0)</f>
        <v>#N/A</v>
      </c>
    </row>
    <row r="506" spans="1:11" x14ac:dyDescent="0.3">
      <c r="A506" s="8">
        <v>505</v>
      </c>
      <c r="B506" s="4" t="s">
        <v>341</v>
      </c>
      <c r="C506" s="4">
        <v>15</v>
      </c>
      <c r="D506" s="4">
        <v>4519061</v>
      </c>
      <c r="E506" s="5" t="s">
        <v>50</v>
      </c>
      <c r="F506" s="6">
        <v>180</v>
      </c>
      <c r="G506" s="7">
        <v>0</v>
      </c>
      <c r="H506" s="7">
        <v>8098214</v>
      </c>
      <c r="J506" s="8" t="s">
        <v>48</v>
      </c>
      <c r="K506" s="8" t="e">
        <f>VLOOKUP(F506,'[2]Cartola 05-2026'!$J$2:$S$85,10,0)</f>
        <v>#N/A</v>
      </c>
    </row>
    <row r="507" spans="1:11" x14ac:dyDescent="0.3">
      <c r="A507" s="8">
        <v>502</v>
      </c>
      <c r="B507" s="4" t="s">
        <v>341</v>
      </c>
      <c r="C507" s="4">
        <v>15</v>
      </c>
      <c r="D507" s="4"/>
      <c r="E507" s="5" t="s">
        <v>343</v>
      </c>
      <c r="F507" s="6">
        <v>40000</v>
      </c>
      <c r="G507" s="7">
        <v>0</v>
      </c>
      <c r="H507" s="7">
        <v>8106645</v>
      </c>
      <c r="J507" s="8" t="s">
        <v>54</v>
      </c>
      <c r="K507" s="8">
        <v>0</v>
      </c>
    </row>
    <row r="508" spans="1:11" x14ac:dyDescent="0.3">
      <c r="A508" s="8">
        <v>507</v>
      </c>
      <c r="B508" s="4" t="s">
        <v>341</v>
      </c>
      <c r="C508" s="4">
        <v>15</v>
      </c>
      <c r="D508" s="4">
        <v>4036217</v>
      </c>
      <c r="E508" s="5" t="s">
        <v>36</v>
      </c>
      <c r="F508" s="6">
        <v>44950</v>
      </c>
      <c r="G508" s="7">
        <v>0</v>
      </c>
      <c r="H508" s="7">
        <v>8037764</v>
      </c>
      <c r="J508" s="8" t="s">
        <v>48</v>
      </c>
      <c r="K508" s="8" t="e">
        <f>VLOOKUP(F508,'[2]Cartola 05-2026'!$J$2:$S$85,10,0)</f>
        <v>#N/A</v>
      </c>
    </row>
    <row r="509" spans="1:11" x14ac:dyDescent="0.3">
      <c r="A509" s="8">
        <v>508</v>
      </c>
      <c r="B509" s="4" t="s">
        <v>345</v>
      </c>
      <c r="C509" s="4">
        <v>15</v>
      </c>
      <c r="D509" s="4">
        <v>1086273</v>
      </c>
      <c r="E509" s="5" t="s">
        <v>126</v>
      </c>
      <c r="F509" s="6">
        <v>8990</v>
      </c>
      <c r="G509" s="7">
        <v>0</v>
      </c>
      <c r="H509" s="7">
        <v>8028774</v>
      </c>
      <c r="J509" s="8" t="s">
        <v>48</v>
      </c>
      <c r="K509" s="8" t="e">
        <f>VLOOKUP(F509,'[2]Cartola 05-2026'!$J$2:$S$85,10,0)</f>
        <v>#N/A</v>
      </c>
    </row>
    <row r="510" spans="1:11" x14ac:dyDescent="0.3">
      <c r="A510" s="8">
        <v>506</v>
      </c>
      <c r="B510" s="4" t="s">
        <v>341</v>
      </c>
      <c r="C510" s="4">
        <v>15</v>
      </c>
      <c r="D510" s="4">
        <v>3038789</v>
      </c>
      <c r="E510" s="5" t="s">
        <v>344</v>
      </c>
      <c r="F510" s="6">
        <v>15500</v>
      </c>
      <c r="G510" s="7">
        <v>0</v>
      </c>
      <c r="H510" s="7">
        <v>8082714</v>
      </c>
      <c r="J510" s="8" t="s">
        <v>48</v>
      </c>
      <c r="K510" s="8">
        <v>0</v>
      </c>
    </row>
    <row r="511" spans="1:11" x14ac:dyDescent="0.3">
      <c r="A511" s="8">
        <v>509</v>
      </c>
      <c r="B511" s="4" t="s">
        <v>345</v>
      </c>
      <c r="C511" s="4">
        <v>15</v>
      </c>
      <c r="D511" s="4">
        <v>4518530</v>
      </c>
      <c r="E511" s="5" t="s">
        <v>346</v>
      </c>
      <c r="F511" s="6">
        <v>12507</v>
      </c>
      <c r="G511" s="7">
        <v>0</v>
      </c>
      <c r="H511" s="7">
        <v>8016267</v>
      </c>
      <c r="J511" s="8" t="s">
        <v>48</v>
      </c>
      <c r="K511" s="8">
        <v>0</v>
      </c>
    </row>
    <row r="512" spans="1:11" x14ac:dyDescent="0.3">
      <c r="A512" s="8">
        <v>510</v>
      </c>
      <c r="B512" s="4" t="s">
        <v>345</v>
      </c>
      <c r="C512" s="4">
        <v>15</v>
      </c>
      <c r="D512" s="4">
        <v>1114362</v>
      </c>
      <c r="E512" s="5" t="s">
        <v>347</v>
      </c>
      <c r="F512" s="6">
        <v>15086</v>
      </c>
      <c r="G512" s="7">
        <v>0</v>
      </c>
      <c r="H512" s="7">
        <v>8001181</v>
      </c>
      <c r="J512" s="8" t="s">
        <v>48</v>
      </c>
      <c r="K512" s="8">
        <v>0</v>
      </c>
    </row>
    <row r="513" spans="1:11" x14ac:dyDescent="0.3">
      <c r="A513" s="8">
        <v>511</v>
      </c>
      <c r="B513" s="4" t="s">
        <v>345</v>
      </c>
      <c r="C513" s="4">
        <v>15</v>
      </c>
      <c r="D513" s="4">
        <v>1701086</v>
      </c>
      <c r="E513" s="5" t="s">
        <v>348</v>
      </c>
      <c r="F513" s="6">
        <v>13685</v>
      </c>
      <c r="G513" s="7">
        <v>0</v>
      </c>
      <c r="H513" s="7">
        <v>7987496</v>
      </c>
      <c r="J513" s="8" t="s">
        <v>48</v>
      </c>
      <c r="K513" s="8">
        <v>0</v>
      </c>
    </row>
    <row r="514" spans="1:11" x14ac:dyDescent="0.3">
      <c r="A514" s="8">
        <v>513</v>
      </c>
      <c r="B514" s="4" t="s">
        <v>345</v>
      </c>
      <c r="C514" s="4">
        <v>15</v>
      </c>
      <c r="D514" s="4">
        <v>7028278</v>
      </c>
      <c r="E514" s="5" t="s">
        <v>335</v>
      </c>
      <c r="F514" s="6">
        <v>500000</v>
      </c>
      <c r="G514" s="7">
        <v>0</v>
      </c>
      <c r="H514" s="7">
        <v>7458389</v>
      </c>
      <c r="J514" s="8" t="s">
        <v>48</v>
      </c>
      <c r="K514" s="8" t="str">
        <f>VLOOKUP(F514,'[1]145-Lago Verde'!$J$3:$O$73,6,0)</f>
        <v>Lago Verde</v>
      </c>
    </row>
    <row r="515" spans="1:11" x14ac:dyDescent="0.3">
      <c r="A515" s="8">
        <v>512</v>
      </c>
      <c r="B515" s="4" t="s">
        <v>345</v>
      </c>
      <c r="C515" s="4">
        <v>15</v>
      </c>
      <c r="D515" s="4">
        <v>7021129</v>
      </c>
      <c r="E515" s="5" t="s">
        <v>349</v>
      </c>
      <c r="F515" s="6">
        <v>29107</v>
      </c>
      <c r="G515" s="7">
        <v>0</v>
      </c>
      <c r="H515" s="7">
        <v>7958389</v>
      </c>
      <c r="J515" s="8" t="s">
        <v>48</v>
      </c>
      <c r="K515" s="8">
        <v>0</v>
      </c>
    </row>
    <row r="516" spans="1:11" x14ac:dyDescent="0.3">
      <c r="A516" s="8">
        <v>514</v>
      </c>
      <c r="B516" s="4" t="s">
        <v>345</v>
      </c>
      <c r="C516" s="4">
        <v>15</v>
      </c>
      <c r="D516" s="4">
        <v>7023034</v>
      </c>
      <c r="E516" s="5" t="s">
        <v>350</v>
      </c>
      <c r="F516" s="6">
        <v>1000000</v>
      </c>
      <c r="G516" s="7">
        <v>0</v>
      </c>
      <c r="H516" s="7">
        <v>6458389</v>
      </c>
      <c r="J516" s="8" t="s">
        <v>48</v>
      </c>
      <c r="K516" s="8">
        <v>0</v>
      </c>
    </row>
    <row r="517" spans="1:11" x14ac:dyDescent="0.3">
      <c r="A517" s="8">
        <v>516</v>
      </c>
      <c r="B517" s="4" t="s">
        <v>345</v>
      </c>
      <c r="C517" s="4">
        <v>16</v>
      </c>
      <c r="D517" s="4">
        <v>7070332</v>
      </c>
      <c r="E517" s="5" t="s">
        <v>194</v>
      </c>
      <c r="F517" s="6">
        <v>241584</v>
      </c>
      <c r="G517" s="7">
        <v>0</v>
      </c>
      <c r="H517" s="7">
        <v>4389878</v>
      </c>
      <c r="J517" s="8" t="s">
        <v>176</v>
      </c>
      <c r="K517" s="8" t="e">
        <f>VLOOKUP(F517,'[2]Cartola 05-2026'!$J$2:$S$85,10,0)</f>
        <v>#N/A</v>
      </c>
    </row>
    <row r="518" spans="1:11" x14ac:dyDescent="0.3">
      <c r="A518" s="8">
        <v>517</v>
      </c>
      <c r="B518" s="4" t="s">
        <v>351</v>
      </c>
      <c r="C518" s="4">
        <v>16</v>
      </c>
      <c r="D518" s="4"/>
      <c r="E518" s="5" t="s">
        <v>352</v>
      </c>
      <c r="F518" s="6">
        <v>10000</v>
      </c>
      <c r="G518" s="7">
        <v>0</v>
      </c>
      <c r="H518" s="7">
        <v>4379878</v>
      </c>
      <c r="J518" s="8" t="s">
        <v>54</v>
      </c>
      <c r="K518" s="8" t="e">
        <f>VLOOKUP(F518,'[2]Cartola 05-2026'!$J$2:$S$85,10,0)</f>
        <v>#N/A</v>
      </c>
    </row>
    <row r="519" spans="1:11" x14ac:dyDescent="0.3">
      <c r="A519" s="8">
        <v>518</v>
      </c>
      <c r="B519" s="4" t="s">
        <v>351</v>
      </c>
      <c r="C519" s="4">
        <v>16</v>
      </c>
      <c r="D519" s="4">
        <v>1086273</v>
      </c>
      <c r="E519" s="5" t="s">
        <v>126</v>
      </c>
      <c r="F519" s="6">
        <v>21270</v>
      </c>
      <c r="G519" s="7">
        <v>0</v>
      </c>
      <c r="H519" s="7">
        <v>4358608</v>
      </c>
      <c r="J519" s="8" t="s">
        <v>48</v>
      </c>
      <c r="K519" s="8" t="e">
        <f>VLOOKUP(F519,'[2]Cartola 05-2026'!$J$2:$S$85,10,0)</f>
        <v>#N/A</v>
      </c>
    </row>
    <row r="520" spans="1:11" x14ac:dyDescent="0.3">
      <c r="A520" s="8">
        <v>519</v>
      </c>
      <c r="B520" s="4" t="s">
        <v>351</v>
      </c>
      <c r="C520" s="4">
        <v>16</v>
      </c>
      <c r="D520" s="4">
        <v>4798105</v>
      </c>
      <c r="E520" s="5" t="s">
        <v>353</v>
      </c>
      <c r="F520" s="6">
        <v>2500</v>
      </c>
      <c r="G520" s="7">
        <v>0</v>
      </c>
      <c r="H520" s="7">
        <v>4356108</v>
      </c>
      <c r="J520" s="8" t="s">
        <v>48</v>
      </c>
      <c r="K520" s="8" t="e">
        <f>VLOOKUP(F520,'[2]Cartola 05-2026'!$J$2:$S$85,10,0)</f>
        <v>#N/A</v>
      </c>
    </row>
    <row r="521" spans="1:11" x14ac:dyDescent="0.3">
      <c r="A521" s="8">
        <v>515</v>
      </c>
      <c r="B521" s="4" t="s">
        <v>345</v>
      </c>
      <c r="C521" s="4">
        <v>15</v>
      </c>
      <c r="D521" s="4">
        <v>7070328</v>
      </c>
      <c r="E521" s="5" t="s">
        <v>350</v>
      </c>
      <c r="F521" s="6">
        <v>1826927</v>
      </c>
      <c r="G521" s="7">
        <v>0</v>
      </c>
      <c r="H521" s="7">
        <v>4631462</v>
      </c>
      <c r="J521" s="8" t="s">
        <v>48</v>
      </c>
      <c r="K521" s="8">
        <v>0</v>
      </c>
    </row>
    <row r="522" spans="1:11" x14ac:dyDescent="0.3">
      <c r="A522" s="8">
        <v>521</v>
      </c>
      <c r="B522" s="4" t="s">
        <v>351</v>
      </c>
      <c r="C522" s="4">
        <v>16</v>
      </c>
      <c r="D522" s="4">
        <v>7001205</v>
      </c>
      <c r="E522" s="5" t="s">
        <v>194</v>
      </c>
      <c r="F522" s="6">
        <v>272391</v>
      </c>
      <c r="G522" s="7">
        <v>0</v>
      </c>
      <c r="H522" s="7">
        <v>3839423</v>
      </c>
      <c r="J522" s="8" t="s">
        <v>176</v>
      </c>
      <c r="K522" s="8" t="e">
        <f>VLOOKUP(F522,'[2]Cartola 05-2026'!$J$2:$S$85,10,0)</f>
        <v>#N/A</v>
      </c>
    </row>
    <row r="523" spans="1:11" x14ac:dyDescent="0.3">
      <c r="A523" s="8">
        <v>522</v>
      </c>
      <c r="B523" s="4" t="s">
        <v>351</v>
      </c>
      <c r="C523" s="4">
        <v>16</v>
      </c>
      <c r="D523" s="4">
        <v>3236897</v>
      </c>
      <c r="E523" s="5" t="s">
        <v>14</v>
      </c>
      <c r="F523" s="6">
        <v>4169</v>
      </c>
      <c r="G523" s="7">
        <v>0</v>
      </c>
      <c r="H523" s="7">
        <v>3835254</v>
      </c>
      <c r="J523" s="8" t="s">
        <v>48</v>
      </c>
      <c r="K523" s="8" t="e">
        <f>VLOOKUP(F523,'[2]Cartola 05-2026'!$J$2:$S$85,10,0)</f>
        <v>#N/A</v>
      </c>
    </row>
    <row r="524" spans="1:11" x14ac:dyDescent="0.3">
      <c r="A524" s="8">
        <v>523</v>
      </c>
      <c r="B524" s="4" t="s">
        <v>351</v>
      </c>
      <c r="C524" s="4">
        <v>16</v>
      </c>
      <c r="D524" s="4">
        <v>3236897</v>
      </c>
      <c r="E524" s="5" t="s">
        <v>14</v>
      </c>
      <c r="F524" s="6">
        <v>5581</v>
      </c>
      <c r="G524" s="7">
        <v>0</v>
      </c>
      <c r="H524" s="7">
        <v>3829673</v>
      </c>
      <c r="J524" s="8" t="s">
        <v>48</v>
      </c>
      <c r="K524" s="8" t="e">
        <f>VLOOKUP(F524,'[2]Cartola 05-2026'!$J$2:$S$85,10,0)</f>
        <v>#N/A</v>
      </c>
    </row>
    <row r="525" spans="1:11" x14ac:dyDescent="0.3">
      <c r="A525" s="8">
        <v>524</v>
      </c>
      <c r="B525" s="4" t="s">
        <v>351</v>
      </c>
      <c r="C525" s="4">
        <v>16</v>
      </c>
      <c r="D525" s="4">
        <v>4067602</v>
      </c>
      <c r="E525" s="5" t="s">
        <v>354</v>
      </c>
      <c r="F525" s="6">
        <v>6650</v>
      </c>
      <c r="G525" s="7">
        <v>0</v>
      </c>
      <c r="H525" s="7">
        <v>3823023</v>
      </c>
      <c r="J525" s="8" t="s">
        <v>48</v>
      </c>
      <c r="K525" s="8" t="e">
        <f>VLOOKUP(F525,'[2]Cartola 05-2026'!$J$2:$S$85,10,0)</f>
        <v>#N/A</v>
      </c>
    </row>
    <row r="526" spans="1:11" x14ac:dyDescent="0.3">
      <c r="A526" s="8">
        <v>520</v>
      </c>
      <c r="B526" s="4" t="s">
        <v>351</v>
      </c>
      <c r="C526" s="4">
        <v>16</v>
      </c>
      <c r="D526" s="4">
        <v>7001206</v>
      </c>
      <c r="E526" s="5" t="s">
        <v>282</v>
      </c>
      <c r="F526" s="6">
        <v>244294</v>
      </c>
      <c r="G526" s="7">
        <v>0</v>
      </c>
      <c r="H526" s="7">
        <v>4111814</v>
      </c>
      <c r="J526" s="8" t="s">
        <v>48</v>
      </c>
      <c r="K526" s="8">
        <v>0</v>
      </c>
    </row>
    <row r="527" spans="1:11" x14ac:dyDescent="0.3">
      <c r="A527" s="8">
        <v>526</v>
      </c>
      <c r="B527" s="4" t="s">
        <v>351</v>
      </c>
      <c r="C527" s="4">
        <v>16</v>
      </c>
      <c r="D527" s="4">
        <v>4844874</v>
      </c>
      <c r="E527" s="5" t="s">
        <v>355</v>
      </c>
      <c r="F527" s="6">
        <v>47977</v>
      </c>
      <c r="G527" s="7">
        <v>0</v>
      </c>
      <c r="H527" s="7">
        <v>3748226</v>
      </c>
      <c r="J527" s="8" t="s">
        <v>48</v>
      </c>
      <c r="K527" s="8" t="e">
        <f>VLOOKUP(F527,'[2]Cartola 05-2026'!$J$2:$S$85,10,0)</f>
        <v>#N/A</v>
      </c>
    </row>
    <row r="528" spans="1:11" x14ac:dyDescent="0.3">
      <c r="A528" s="8">
        <v>527</v>
      </c>
      <c r="B528" s="4" t="s">
        <v>356</v>
      </c>
      <c r="C528" s="4">
        <v>16</v>
      </c>
      <c r="D528" s="4">
        <v>2292828</v>
      </c>
      <c r="E528" s="5" t="s">
        <v>59</v>
      </c>
      <c r="F528" s="6">
        <v>10000</v>
      </c>
      <c r="G528" s="7">
        <v>0</v>
      </c>
      <c r="H528" s="7">
        <v>3738226</v>
      </c>
      <c r="J528" s="8" t="s">
        <v>48</v>
      </c>
      <c r="K528" s="8" t="e">
        <f>VLOOKUP(F528,'[2]Cartola 05-2026'!$J$2:$S$85,10,0)</f>
        <v>#N/A</v>
      </c>
    </row>
    <row r="529" spans="1:11" x14ac:dyDescent="0.3">
      <c r="A529" s="8">
        <v>528</v>
      </c>
      <c r="B529" s="4" t="s">
        <v>356</v>
      </c>
      <c r="C529" s="4">
        <v>16</v>
      </c>
      <c r="D529" s="4">
        <v>7000966</v>
      </c>
      <c r="E529" s="5" t="s">
        <v>267</v>
      </c>
      <c r="F529" s="6">
        <v>1126038</v>
      </c>
      <c r="G529" s="7">
        <v>0</v>
      </c>
      <c r="H529" s="7">
        <v>2612188</v>
      </c>
      <c r="J529" s="8" t="s">
        <v>48</v>
      </c>
      <c r="K529" s="8" t="e">
        <f>VLOOKUP(F529,'[2]Cartola 05-2026'!$J$2:$S$85,10,0)</f>
        <v>#N/A</v>
      </c>
    </row>
    <row r="530" spans="1:11" x14ac:dyDescent="0.3">
      <c r="A530" s="8">
        <v>525</v>
      </c>
      <c r="B530" s="4" t="s">
        <v>351</v>
      </c>
      <c r="C530" s="4">
        <v>16</v>
      </c>
      <c r="D530" s="4">
        <v>4518530</v>
      </c>
      <c r="E530" s="5" t="s">
        <v>346</v>
      </c>
      <c r="F530" s="6">
        <v>26820</v>
      </c>
      <c r="G530" s="7">
        <v>0</v>
      </c>
      <c r="H530" s="7">
        <v>3796203</v>
      </c>
      <c r="J530" s="8" t="s">
        <v>48</v>
      </c>
      <c r="K530" s="8">
        <v>0</v>
      </c>
    </row>
    <row r="531" spans="1:11" x14ac:dyDescent="0.3">
      <c r="A531" s="8">
        <v>530</v>
      </c>
      <c r="B531" s="4" t="s">
        <v>357</v>
      </c>
      <c r="C531" s="4">
        <v>16</v>
      </c>
      <c r="D531" s="4">
        <v>4036217</v>
      </c>
      <c r="E531" s="5" t="s">
        <v>36</v>
      </c>
      <c r="F531" s="6">
        <v>50543</v>
      </c>
      <c r="G531" s="7">
        <v>0</v>
      </c>
      <c r="H531" s="7">
        <v>2532845</v>
      </c>
      <c r="J531" s="8" t="s">
        <v>48</v>
      </c>
      <c r="K531" s="8" t="e">
        <f>VLOOKUP(F531,'[2]Cartola 05-2026'!$J$2:$S$85,10,0)</f>
        <v>#N/A</v>
      </c>
    </row>
    <row r="532" spans="1:11" x14ac:dyDescent="0.3">
      <c r="A532" s="8">
        <v>529</v>
      </c>
      <c r="B532" s="4" t="s">
        <v>357</v>
      </c>
      <c r="C532" s="4">
        <v>16</v>
      </c>
      <c r="D532" s="4">
        <v>1113013</v>
      </c>
      <c r="E532" s="5" t="s">
        <v>358</v>
      </c>
      <c r="F532" s="6">
        <v>28800</v>
      </c>
      <c r="G532" s="7">
        <v>0</v>
      </c>
      <c r="H532" s="7">
        <v>2583388</v>
      </c>
      <c r="J532" s="8" t="s">
        <v>48</v>
      </c>
      <c r="K532" s="8">
        <v>0</v>
      </c>
    </row>
    <row r="533" spans="1:11" x14ac:dyDescent="0.3">
      <c r="A533" s="8">
        <v>531</v>
      </c>
      <c r="B533" s="4" t="s">
        <v>357</v>
      </c>
      <c r="C533" s="4">
        <v>16</v>
      </c>
      <c r="D533" s="4">
        <v>1077</v>
      </c>
      <c r="E533" s="5" t="s">
        <v>12</v>
      </c>
      <c r="F533" s="6">
        <v>0</v>
      </c>
      <c r="G533" s="7">
        <v>7000000</v>
      </c>
      <c r="H533" s="7">
        <v>9532845</v>
      </c>
      <c r="J533" s="8" t="s">
        <v>13</v>
      </c>
      <c r="K533" s="8">
        <v>0</v>
      </c>
    </row>
    <row r="534" spans="1:11" x14ac:dyDescent="0.3">
      <c r="A534" s="8">
        <v>533</v>
      </c>
      <c r="B534" s="4" t="s">
        <v>357</v>
      </c>
      <c r="C534" s="4">
        <v>16</v>
      </c>
      <c r="D534" s="4">
        <v>1086273</v>
      </c>
      <c r="E534" s="5" t="s">
        <v>126</v>
      </c>
      <c r="F534" s="6">
        <v>13740</v>
      </c>
      <c r="G534" s="7">
        <v>0</v>
      </c>
      <c r="H534" s="7">
        <v>9499105</v>
      </c>
      <c r="J534" s="8" t="s">
        <v>48</v>
      </c>
      <c r="K534" s="8" t="e">
        <f>VLOOKUP(F534,'[2]Cartola 05-2026'!$J$2:$S$85,10,0)</f>
        <v>#N/A</v>
      </c>
    </row>
    <row r="535" spans="1:11" x14ac:dyDescent="0.3">
      <c r="A535" s="8">
        <v>534</v>
      </c>
      <c r="B535" s="4" t="s">
        <v>357</v>
      </c>
      <c r="C535" s="4">
        <v>16</v>
      </c>
      <c r="D535" s="4">
        <v>7092038</v>
      </c>
      <c r="E535" s="5" t="s">
        <v>324</v>
      </c>
      <c r="F535" s="6">
        <v>4105500</v>
      </c>
      <c r="G535" s="7">
        <v>0</v>
      </c>
      <c r="H535" s="7">
        <v>5393605</v>
      </c>
      <c r="J535" s="8" t="s">
        <v>48</v>
      </c>
      <c r="K535" s="8" t="str">
        <f>VLOOKUP(F535,'[1]147-Melipilla'!$I$8:$N$13,6,0)</f>
        <v>Melipilla</v>
      </c>
    </row>
    <row r="536" spans="1:11" x14ac:dyDescent="0.3">
      <c r="A536" s="8">
        <v>535</v>
      </c>
      <c r="B536" s="4" t="s">
        <v>357</v>
      </c>
      <c r="C536" s="4">
        <v>16</v>
      </c>
      <c r="D536" s="4">
        <v>7093540</v>
      </c>
      <c r="E536" s="5" t="s">
        <v>360</v>
      </c>
      <c r="F536" s="6">
        <v>768740</v>
      </c>
      <c r="G536" s="7">
        <v>0</v>
      </c>
      <c r="H536" s="7">
        <v>4624865</v>
      </c>
      <c r="J536" s="8" t="s">
        <v>48</v>
      </c>
      <c r="K536" s="8" t="str">
        <f>VLOOKUP(F536,'[1]121-CFT'!$I$6:$N$43,6,0)</f>
        <v>CFT</v>
      </c>
    </row>
    <row r="537" spans="1:11" x14ac:dyDescent="0.3">
      <c r="A537" s="8">
        <v>536</v>
      </c>
      <c r="B537" s="4" t="s">
        <v>361</v>
      </c>
      <c r="C537" s="4">
        <v>16</v>
      </c>
      <c r="D537" s="4">
        <v>7037724</v>
      </c>
      <c r="E537" s="5" t="s">
        <v>89</v>
      </c>
      <c r="F537" s="6">
        <v>19303</v>
      </c>
      <c r="G537" s="7">
        <v>0</v>
      </c>
      <c r="H537" s="7">
        <v>4605562</v>
      </c>
      <c r="J537" s="8" t="s">
        <v>48</v>
      </c>
      <c r="K537" s="8" t="e">
        <f>VLOOKUP(F537,'[2]Cartola 05-2026'!$J$2:$S$85,10,0)</f>
        <v>#N/A</v>
      </c>
    </row>
    <row r="538" spans="1:11" x14ac:dyDescent="0.3">
      <c r="A538" s="8">
        <v>532</v>
      </c>
      <c r="B538" s="4" t="s">
        <v>357</v>
      </c>
      <c r="C538" s="4">
        <v>16</v>
      </c>
      <c r="D538" s="4"/>
      <c r="E538" s="5" t="s">
        <v>359</v>
      </c>
      <c r="F538" s="6">
        <v>20000</v>
      </c>
      <c r="G538" s="7">
        <v>0</v>
      </c>
      <c r="H538" s="7">
        <v>9512845</v>
      </c>
      <c r="J538" s="8" t="s">
        <v>54</v>
      </c>
      <c r="K538" s="8">
        <v>0</v>
      </c>
    </row>
    <row r="539" spans="1:11" x14ac:dyDescent="0.3">
      <c r="A539" s="8">
        <v>538</v>
      </c>
      <c r="B539" s="4" t="s">
        <v>361</v>
      </c>
      <c r="C539" s="4">
        <v>16</v>
      </c>
      <c r="D539" s="4">
        <v>7035051</v>
      </c>
      <c r="E539" s="5" t="s">
        <v>362</v>
      </c>
      <c r="F539" s="6">
        <v>1000000</v>
      </c>
      <c r="G539" s="7">
        <v>0</v>
      </c>
      <c r="H539" s="7">
        <v>10605562</v>
      </c>
      <c r="J539" s="8" t="s">
        <v>48</v>
      </c>
      <c r="K539" s="9" t="str">
        <f>VLOOKUP(F539,'[1]150-Chiguayante'!$J$2:$O$9,6,0)</f>
        <v>Chiguayante</v>
      </c>
    </row>
    <row r="540" spans="1:11" x14ac:dyDescent="0.3">
      <c r="A540" s="8">
        <v>537</v>
      </c>
      <c r="B540" s="4" t="s">
        <v>361</v>
      </c>
      <c r="C540" s="4">
        <v>16</v>
      </c>
      <c r="D540" s="4">
        <v>1077</v>
      </c>
      <c r="E540" s="5" t="s">
        <v>12</v>
      </c>
      <c r="F540" s="6">
        <v>0</v>
      </c>
      <c r="G540" s="7">
        <v>7000000</v>
      </c>
      <c r="H540" s="7">
        <v>11605562</v>
      </c>
      <c r="J540" s="8" t="s">
        <v>13</v>
      </c>
      <c r="K540" s="8">
        <v>0</v>
      </c>
    </row>
    <row r="541" spans="1:11" x14ac:dyDescent="0.3">
      <c r="A541" s="8">
        <v>539</v>
      </c>
      <c r="B541" s="4" t="s">
        <v>361</v>
      </c>
      <c r="C541" s="4">
        <v>16</v>
      </c>
      <c r="D541" s="4">
        <v>7035393</v>
      </c>
      <c r="E541" s="5" t="s">
        <v>363</v>
      </c>
      <c r="F541" s="6">
        <v>1000</v>
      </c>
      <c r="G541" s="7">
        <v>0</v>
      </c>
      <c r="H541" s="7">
        <v>10604562</v>
      </c>
      <c r="J541" s="8" t="s">
        <v>48</v>
      </c>
      <c r="K541" s="8">
        <v>0</v>
      </c>
    </row>
    <row r="542" spans="1:11" x14ac:dyDescent="0.3">
      <c r="A542" s="8">
        <v>541</v>
      </c>
      <c r="B542" s="4" t="s">
        <v>364</v>
      </c>
      <c r="C542" s="4">
        <v>16</v>
      </c>
      <c r="D542" s="4">
        <v>7057203</v>
      </c>
      <c r="E542" s="5" t="s">
        <v>362</v>
      </c>
      <c r="F542" s="6">
        <v>5000000</v>
      </c>
      <c r="G542" s="7">
        <v>0</v>
      </c>
      <c r="H542" s="7">
        <v>12604562</v>
      </c>
      <c r="J542" s="8" t="s">
        <v>48</v>
      </c>
      <c r="K542" s="9" t="str">
        <f>VLOOKUP(F542,'[1]150-Chiguayante'!$J$2:$O$9,6,0)</f>
        <v>Chiguayante</v>
      </c>
    </row>
    <row r="543" spans="1:11" x14ac:dyDescent="0.3">
      <c r="A543" s="8">
        <v>542</v>
      </c>
      <c r="B543" s="4" t="s">
        <v>364</v>
      </c>
      <c r="C543" s="4">
        <v>16</v>
      </c>
      <c r="D543" s="4">
        <v>7057205</v>
      </c>
      <c r="E543" s="5" t="s">
        <v>363</v>
      </c>
      <c r="F543" s="6">
        <v>5000000</v>
      </c>
      <c r="G543" s="7">
        <v>0</v>
      </c>
      <c r="H543" s="7">
        <v>7604562</v>
      </c>
      <c r="J543" s="8" t="s">
        <v>48</v>
      </c>
      <c r="K543" s="8" t="str">
        <f>VLOOKUP(F543,'[1]150-Chiguayante'!$J$2:$O$9,6,0)</f>
        <v>Chiguayante</v>
      </c>
    </row>
    <row r="544" spans="1:11" x14ac:dyDescent="0.3">
      <c r="A544" s="8">
        <v>543</v>
      </c>
      <c r="B544" s="4" t="s">
        <v>364</v>
      </c>
      <c r="C544" s="4">
        <v>16</v>
      </c>
      <c r="D544" s="4">
        <v>7057204</v>
      </c>
      <c r="E544" s="5" t="s">
        <v>250</v>
      </c>
      <c r="F544" s="6">
        <v>4009537</v>
      </c>
      <c r="G544" s="7">
        <v>0</v>
      </c>
      <c r="H544" s="7">
        <v>3595025</v>
      </c>
      <c r="J544" s="8" t="s">
        <v>48</v>
      </c>
      <c r="K544" s="8" t="e">
        <f>VLOOKUP(F544,'[2]Cartola 05-2026'!$J$2:$S$85,10,0)</f>
        <v>#N/A</v>
      </c>
    </row>
    <row r="545" spans="1:11" x14ac:dyDescent="0.3">
      <c r="A545" s="8">
        <v>540</v>
      </c>
      <c r="B545" s="4" t="s">
        <v>364</v>
      </c>
      <c r="C545" s="4">
        <v>16</v>
      </c>
      <c r="D545" s="4">
        <v>1077</v>
      </c>
      <c r="E545" s="5" t="s">
        <v>12</v>
      </c>
      <c r="F545" s="6">
        <v>0</v>
      </c>
      <c r="G545" s="7">
        <v>7000000</v>
      </c>
      <c r="H545" s="7">
        <v>17604562</v>
      </c>
      <c r="J545" s="8" t="s">
        <v>13</v>
      </c>
      <c r="K545" s="8">
        <v>0</v>
      </c>
    </row>
    <row r="546" spans="1:11" x14ac:dyDescent="0.3">
      <c r="A546" s="8">
        <v>545</v>
      </c>
      <c r="B546" s="4" t="s">
        <v>364</v>
      </c>
      <c r="C546" s="4">
        <v>16</v>
      </c>
      <c r="D546" s="4"/>
      <c r="E546" s="5" t="s">
        <v>365</v>
      </c>
      <c r="F546" s="6">
        <v>50000</v>
      </c>
      <c r="G546" s="7">
        <v>0</v>
      </c>
      <c r="H546" s="7">
        <v>10545025</v>
      </c>
      <c r="J546" s="8" t="s">
        <v>54</v>
      </c>
      <c r="K546" s="8" t="e">
        <f>VLOOKUP(F546,'[2]Cartola 05-2026'!$J$2:$S$85,10,0)</f>
        <v>#N/A</v>
      </c>
    </row>
    <row r="547" spans="1:11" x14ac:dyDescent="0.3">
      <c r="A547" s="8">
        <v>546</v>
      </c>
      <c r="B547" s="4" t="s">
        <v>364</v>
      </c>
      <c r="C547" s="4">
        <v>16</v>
      </c>
      <c r="D547" s="4">
        <v>4036217</v>
      </c>
      <c r="E547" s="5" t="s">
        <v>36</v>
      </c>
      <c r="F547" s="6">
        <v>45531</v>
      </c>
      <c r="G547" s="7">
        <v>0</v>
      </c>
      <c r="H547" s="7">
        <v>10499494</v>
      </c>
      <c r="J547" s="8" t="s">
        <v>48</v>
      </c>
      <c r="K547" s="8" t="e">
        <f>VLOOKUP(F547,'[2]Cartola 05-2026'!$J$2:$S$85,10,0)</f>
        <v>#N/A</v>
      </c>
    </row>
    <row r="548" spans="1:11" x14ac:dyDescent="0.3">
      <c r="A548" s="8">
        <v>547</v>
      </c>
      <c r="B548" s="4" t="s">
        <v>364</v>
      </c>
      <c r="C548" s="4">
        <v>16</v>
      </c>
      <c r="D548" s="4">
        <v>7036502</v>
      </c>
      <c r="E548" s="5" t="s">
        <v>363</v>
      </c>
      <c r="F548" s="6">
        <v>1382521</v>
      </c>
      <c r="G548" s="7">
        <v>0</v>
      </c>
      <c r="H548" s="7">
        <v>9116973</v>
      </c>
      <c r="J548" s="8" t="s">
        <v>48</v>
      </c>
      <c r="K548" s="8" t="str">
        <f>VLOOKUP(F548,'[1]150-Chiguayante'!$J$2:$O$9,6,0)</f>
        <v>Chiguayante</v>
      </c>
    </row>
    <row r="549" spans="1:11" x14ac:dyDescent="0.3">
      <c r="A549" s="8">
        <v>548</v>
      </c>
      <c r="B549" s="4" t="s">
        <v>364</v>
      </c>
      <c r="C549" s="4">
        <v>16</v>
      </c>
      <c r="D549" s="4">
        <v>7036504</v>
      </c>
      <c r="E549" s="5" t="s">
        <v>362</v>
      </c>
      <c r="F549" s="6">
        <v>3448500</v>
      </c>
      <c r="G549" s="7">
        <v>0</v>
      </c>
      <c r="H549" s="7">
        <v>5668473</v>
      </c>
      <c r="J549" s="8" t="s">
        <v>48</v>
      </c>
      <c r="K549" s="9" t="str">
        <f>VLOOKUP(F549,'[1]150-Chiguayante'!$J$2:$O$9,6,0)</f>
        <v>Chiguayante</v>
      </c>
    </row>
    <row r="550" spans="1:11" x14ac:dyDescent="0.3">
      <c r="A550" s="8">
        <v>549</v>
      </c>
      <c r="B550" s="4" t="s">
        <v>366</v>
      </c>
      <c r="C550" s="4">
        <v>16</v>
      </c>
      <c r="D550" s="4">
        <v>4036217</v>
      </c>
      <c r="E550" s="5" t="s">
        <v>36</v>
      </c>
      <c r="F550" s="6">
        <v>50739</v>
      </c>
      <c r="G550" s="7">
        <v>0</v>
      </c>
      <c r="H550" s="7">
        <v>5617734</v>
      </c>
      <c r="J550" s="8" t="s">
        <v>48</v>
      </c>
      <c r="K550" s="8" t="e">
        <f>VLOOKUP(F550,'[2]Cartola 05-2026'!$J$2:$S$85,10,0)</f>
        <v>#N/A</v>
      </c>
    </row>
    <row r="551" spans="1:11" x14ac:dyDescent="0.3">
      <c r="A551" s="8">
        <v>544</v>
      </c>
      <c r="B551" s="4" t="s">
        <v>364</v>
      </c>
      <c r="C551" s="4">
        <v>16</v>
      </c>
      <c r="D551" s="4">
        <v>1077</v>
      </c>
      <c r="E551" s="5" t="s">
        <v>12</v>
      </c>
      <c r="F551" s="6">
        <v>0</v>
      </c>
      <c r="G551" s="7">
        <v>7000000</v>
      </c>
      <c r="H551" s="7">
        <v>10595025</v>
      </c>
      <c r="J551" s="8" t="s">
        <v>13</v>
      </c>
      <c r="K551" s="8">
        <v>0</v>
      </c>
    </row>
    <row r="552" spans="1:11" x14ac:dyDescent="0.3">
      <c r="A552" s="8">
        <v>551</v>
      </c>
      <c r="B552" s="4" t="s">
        <v>367</v>
      </c>
      <c r="C552" s="4">
        <v>16</v>
      </c>
      <c r="D552" s="4">
        <v>4488031</v>
      </c>
      <c r="E552" s="5" t="s">
        <v>50</v>
      </c>
      <c r="F552" s="6">
        <v>19950</v>
      </c>
      <c r="G552" s="7">
        <v>0</v>
      </c>
      <c r="H552" s="7">
        <v>12597784</v>
      </c>
      <c r="J552" s="8" t="s">
        <v>48</v>
      </c>
      <c r="K552" s="8" t="e">
        <f>VLOOKUP(F552,'[2]Cartola 05-2026'!$J$2:$S$85,10,0)</f>
        <v>#N/A</v>
      </c>
    </row>
    <row r="553" spans="1:11" x14ac:dyDescent="0.3">
      <c r="A553" s="8">
        <v>552</v>
      </c>
      <c r="B553" s="4" t="s">
        <v>367</v>
      </c>
      <c r="C553" s="4">
        <v>17</v>
      </c>
      <c r="D553" s="4">
        <v>7082262</v>
      </c>
      <c r="E553" s="5" t="s">
        <v>368</v>
      </c>
      <c r="F553" s="6">
        <v>1560357</v>
      </c>
      <c r="G553" s="7">
        <v>0</v>
      </c>
      <c r="H553" s="7">
        <v>11037427</v>
      </c>
      <c r="J553" s="8" t="s">
        <v>48</v>
      </c>
      <c r="K553" s="8" t="str">
        <f>VLOOKUP(F553,'[1]146-CFT Los Rios'!$I$3:$N$6,6,0)</f>
        <v>CFT Los Rios</v>
      </c>
    </row>
    <row r="554" spans="1:11" x14ac:dyDescent="0.3">
      <c r="A554" s="8">
        <v>553</v>
      </c>
      <c r="B554" s="4" t="s">
        <v>367</v>
      </c>
      <c r="C554" s="4">
        <v>17</v>
      </c>
      <c r="D554" s="4">
        <v>7082259</v>
      </c>
      <c r="E554" s="5" t="s">
        <v>199</v>
      </c>
      <c r="F554" s="6">
        <v>2447942</v>
      </c>
      <c r="G554" s="7">
        <v>0</v>
      </c>
      <c r="H554" s="7">
        <v>8589485</v>
      </c>
      <c r="J554" s="8" t="s">
        <v>48</v>
      </c>
      <c r="K554" s="8" t="str">
        <f>VLOOKUP(F554,'[1]146-CFT Los Rios'!$I$3:$N$6,6,0)</f>
        <v>CFT Los Rios</v>
      </c>
    </row>
    <row r="555" spans="1:11" x14ac:dyDescent="0.3">
      <c r="A555" s="8">
        <v>554</v>
      </c>
      <c r="B555" s="4" t="s">
        <v>367</v>
      </c>
      <c r="C555" s="4">
        <v>17</v>
      </c>
      <c r="D555" s="4">
        <v>7082261</v>
      </c>
      <c r="E555" s="5" t="s">
        <v>369</v>
      </c>
      <c r="F555" s="6">
        <v>1191071</v>
      </c>
      <c r="G555" s="7">
        <v>0</v>
      </c>
      <c r="H555" s="7">
        <v>7398414</v>
      </c>
      <c r="J555" s="8" t="s">
        <v>48</v>
      </c>
      <c r="K555" s="8" t="str">
        <f>VLOOKUP(F555,'[1]146-CFT Los Rios'!$I$3:$N$6,6,0)</f>
        <v>CFT Los Rios</v>
      </c>
    </row>
    <row r="556" spans="1:11" x14ac:dyDescent="0.3">
      <c r="A556" s="8">
        <v>555</v>
      </c>
      <c r="B556" s="4" t="s">
        <v>367</v>
      </c>
      <c r="C556" s="4">
        <v>17</v>
      </c>
      <c r="D556" s="4">
        <v>7082258</v>
      </c>
      <c r="E556" s="5" t="s">
        <v>342</v>
      </c>
      <c r="F556" s="6">
        <v>767419</v>
      </c>
      <c r="G556" s="7">
        <v>0</v>
      </c>
      <c r="H556" s="7">
        <v>6630995</v>
      </c>
      <c r="J556" s="8" t="s">
        <v>48</v>
      </c>
      <c r="K556" s="8" t="e">
        <f>VLOOKUP(F556,'[2]Cartola 05-2026'!$J$2:$S$85,10,0)</f>
        <v>#N/A</v>
      </c>
    </row>
    <row r="557" spans="1:11" x14ac:dyDescent="0.3">
      <c r="A557" s="8">
        <v>556</v>
      </c>
      <c r="B557" s="4" t="s">
        <v>367</v>
      </c>
      <c r="C557" s="4">
        <v>17</v>
      </c>
      <c r="D557" s="4">
        <v>4520744</v>
      </c>
      <c r="E557" s="5" t="s">
        <v>136</v>
      </c>
      <c r="F557" s="6">
        <v>46060</v>
      </c>
      <c r="G557" s="7">
        <v>0</v>
      </c>
      <c r="H557" s="7">
        <v>6584935</v>
      </c>
      <c r="J557" s="8" t="s">
        <v>48</v>
      </c>
      <c r="K557" s="8" t="e">
        <f>VLOOKUP(F557,'[2]Cartola 05-2026'!$J$2:$S$85,10,0)</f>
        <v>#N/A</v>
      </c>
    </row>
    <row r="558" spans="1:11" x14ac:dyDescent="0.3">
      <c r="A558" s="8">
        <v>557</v>
      </c>
      <c r="B558" s="4" t="s">
        <v>370</v>
      </c>
      <c r="C558" s="4">
        <v>17</v>
      </c>
      <c r="D558" s="4">
        <v>4329035</v>
      </c>
      <c r="E558" s="5" t="s">
        <v>371</v>
      </c>
      <c r="F558" s="6">
        <v>55000</v>
      </c>
      <c r="G558" s="7">
        <v>0</v>
      </c>
      <c r="H558" s="7">
        <v>6529935</v>
      </c>
      <c r="J558" s="8" t="s">
        <v>48</v>
      </c>
      <c r="K558" s="8" t="e">
        <f>VLOOKUP(F558,'[2]Cartola 05-2026'!$J$2:$S$85,10,0)</f>
        <v>#N/A</v>
      </c>
    </row>
    <row r="559" spans="1:11" x14ac:dyDescent="0.3">
      <c r="A559" s="8">
        <v>558</v>
      </c>
      <c r="B559" s="4" t="s">
        <v>370</v>
      </c>
      <c r="C559" s="4">
        <v>17</v>
      </c>
      <c r="D559" s="4">
        <v>1113013</v>
      </c>
      <c r="E559" s="5" t="s">
        <v>358</v>
      </c>
      <c r="F559" s="6">
        <v>74990</v>
      </c>
      <c r="G559" s="7">
        <v>0</v>
      </c>
      <c r="H559" s="7">
        <v>6454945</v>
      </c>
      <c r="J559" s="8" t="s">
        <v>48</v>
      </c>
      <c r="K559" s="8" t="str">
        <f>VLOOKUP(F559,'[1]146-CFT Los Rios'!$I$3:$N$6,6,0)</f>
        <v>CFT Los Rios</v>
      </c>
    </row>
    <row r="560" spans="1:11" x14ac:dyDescent="0.3">
      <c r="A560" s="8">
        <v>559</v>
      </c>
      <c r="B560" s="4" t="s">
        <v>370</v>
      </c>
      <c r="C560" s="4">
        <v>17</v>
      </c>
      <c r="D560" s="4">
        <v>3236897</v>
      </c>
      <c r="E560" s="5" t="s">
        <v>14</v>
      </c>
      <c r="F560" s="6">
        <v>1790</v>
      </c>
      <c r="G560" s="7">
        <v>0</v>
      </c>
      <c r="H560" s="7">
        <v>6453155</v>
      </c>
      <c r="J560" s="8" t="s">
        <v>48</v>
      </c>
      <c r="K560" s="8" t="e">
        <f>VLOOKUP(F560,'[2]Cartola 05-2026'!$J$2:$S$85,10,0)</f>
        <v>#N/A</v>
      </c>
    </row>
    <row r="561" spans="1:11" x14ac:dyDescent="0.3">
      <c r="A561" s="8">
        <v>560</v>
      </c>
      <c r="B561" s="4" t="s">
        <v>370</v>
      </c>
      <c r="C561" s="4">
        <v>17</v>
      </c>
      <c r="D561" s="4">
        <v>4430861</v>
      </c>
      <c r="E561" s="5" t="s">
        <v>50</v>
      </c>
      <c r="F561" s="6">
        <v>3900</v>
      </c>
      <c r="G561" s="7">
        <v>0</v>
      </c>
      <c r="H561" s="7">
        <v>6449255</v>
      </c>
      <c r="J561" s="8" t="s">
        <v>48</v>
      </c>
      <c r="K561" s="8" t="e">
        <f>VLOOKUP(F561,'[2]Cartola 05-2026'!$J$2:$S$85,10,0)</f>
        <v>#N/A</v>
      </c>
    </row>
    <row r="562" spans="1:11" x14ac:dyDescent="0.3">
      <c r="A562" s="8">
        <v>561</v>
      </c>
      <c r="B562" s="4" t="s">
        <v>370</v>
      </c>
      <c r="C562" s="4">
        <v>17</v>
      </c>
      <c r="D562" s="4">
        <v>4430861</v>
      </c>
      <c r="E562" s="5" t="s">
        <v>50</v>
      </c>
      <c r="F562" s="6">
        <v>7500</v>
      </c>
      <c r="G562" s="7">
        <v>0</v>
      </c>
      <c r="H562" s="7">
        <v>6441755</v>
      </c>
      <c r="J562" s="8" t="s">
        <v>48</v>
      </c>
      <c r="K562" s="8" t="e">
        <f>VLOOKUP(F562,'[2]Cartola 05-2026'!$J$2:$S$85,10,0)</f>
        <v>#N/A</v>
      </c>
    </row>
    <row r="563" spans="1:11" x14ac:dyDescent="0.3">
      <c r="A563" s="8">
        <v>562</v>
      </c>
      <c r="B563" s="4" t="s">
        <v>372</v>
      </c>
      <c r="C563" s="4">
        <v>17</v>
      </c>
      <c r="D563" s="4">
        <v>7003005</v>
      </c>
      <c r="E563" s="5" t="s">
        <v>373</v>
      </c>
      <c r="F563" s="6">
        <v>100000</v>
      </c>
      <c r="G563" s="7">
        <v>0</v>
      </c>
      <c r="H563" s="7">
        <v>6341755</v>
      </c>
      <c r="J563" s="8" t="s">
        <v>48</v>
      </c>
      <c r="K563" s="8" t="e">
        <f>VLOOKUP(F563,'[2]Cartola 05-2026'!$J$2:$S$85,10,0)</f>
        <v>#N/A</v>
      </c>
    </row>
    <row r="564" spans="1:11" x14ac:dyDescent="0.3">
      <c r="A564" s="8">
        <v>550</v>
      </c>
      <c r="B564" s="4" t="s">
        <v>367</v>
      </c>
      <c r="C564" s="4">
        <v>16</v>
      </c>
      <c r="D564" s="4">
        <v>1077</v>
      </c>
      <c r="E564" s="5" t="s">
        <v>12</v>
      </c>
      <c r="F564" s="6">
        <v>0</v>
      </c>
      <c r="G564" s="7">
        <v>7000000</v>
      </c>
      <c r="H564" s="7">
        <v>12617734</v>
      </c>
      <c r="J564" s="8" t="s">
        <v>13</v>
      </c>
      <c r="K564" s="8">
        <v>0</v>
      </c>
    </row>
    <row r="565" spans="1:11" x14ac:dyDescent="0.3">
      <c r="A565" s="8">
        <v>564</v>
      </c>
      <c r="B565" s="4" t="s">
        <v>374</v>
      </c>
      <c r="C565" s="4">
        <v>17</v>
      </c>
      <c r="D565" s="4">
        <v>4434418</v>
      </c>
      <c r="E565" s="5" t="s">
        <v>50</v>
      </c>
      <c r="F565" s="6">
        <v>36000</v>
      </c>
      <c r="G565" s="7">
        <v>0</v>
      </c>
      <c r="H565" s="7">
        <v>6235755</v>
      </c>
      <c r="J565" s="8" t="s">
        <v>48</v>
      </c>
      <c r="K565" s="8" t="e">
        <f>VLOOKUP(F565,'[2]Cartola 05-2026'!$J$2:$S$85,10,0)</f>
        <v>#N/A</v>
      </c>
    </row>
    <row r="566" spans="1:11" x14ac:dyDescent="0.3">
      <c r="A566" s="8">
        <v>565</v>
      </c>
      <c r="B566" s="4" t="s">
        <v>374</v>
      </c>
      <c r="C566" s="4">
        <v>17</v>
      </c>
      <c r="D566" s="4">
        <v>1086290</v>
      </c>
      <c r="E566" s="5" t="s">
        <v>226</v>
      </c>
      <c r="F566" s="6">
        <v>24480</v>
      </c>
      <c r="G566" s="7">
        <v>0</v>
      </c>
      <c r="H566" s="7">
        <v>6211275</v>
      </c>
      <c r="J566" s="8" t="s">
        <v>48</v>
      </c>
      <c r="K566" s="8" t="e">
        <f>VLOOKUP(F566,'[2]Cartola 05-2026'!$J$2:$S$85,10,0)</f>
        <v>#N/A</v>
      </c>
    </row>
    <row r="567" spans="1:11" x14ac:dyDescent="0.3">
      <c r="A567" s="8">
        <v>566</v>
      </c>
      <c r="B567" s="4" t="s">
        <v>376</v>
      </c>
      <c r="C567" s="4">
        <v>17</v>
      </c>
      <c r="D567" s="4">
        <v>4434418</v>
      </c>
      <c r="E567" s="5" t="s">
        <v>50</v>
      </c>
      <c r="F567" s="6">
        <v>5500</v>
      </c>
      <c r="G567" s="7">
        <v>0</v>
      </c>
      <c r="H567" s="7">
        <v>6205775</v>
      </c>
      <c r="J567" s="8" t="s">
        <v>48</v>
      </c>
      <c r="K567" s="8" t="e">
        <f>VLOOKUP(F567,'[2]Cartola 05-2026'!$J$2:$S$85,10,0)</f>
        <v>#N/A</v>
      </c>
    </row>
    <row r="568" spans="1:11" x14ac:dyDescent="0.3">
      <c r="A568" s="8">
        <v>563</v>
      </c>
      <c r="B568" s="4" t="s">
        <v>374</v>
      </c>
      <c r="C568" s="4">
        <v>17</v>
      </c>
      <c r="D568" s="4"/>
      <c r="E568" s="5" t="s">
        <v>375</v>
      </c>
      <c r="F568" s="6">
        <v>70000</v>
      </c>
      <c r="G568" s="7">
        <v>0</v>
      </c>
      <c r="H568" s="7">
        <v>6271755</v>
      </c>
      <c r="J568" s="8" t="s">
        <v>54</v>
      </c>
      <c r="K568" s="8">
        <v>0</v>
      </c>
    </row>
    <row r="569" spans="1:11" x14ac:dyDescent="0.3">
      <c r="A569" s="8">
        <v>567</v>
      </c>
      <c r="B569" s="4" t="s">
        <v>376</v>
      </c>
      <c r="C569" s="4">
        <v>17</v>
      </c>
      <c r="D569" s="4">
        <v>4329035</v>
      </c>
      <c r="E569" s="5" t="s">
        <v>371</v>
      </c>
      <c r="F569" s="6">
        <v>30000</v>
      </c>
      <c r="G569" s="7">
        <v>0</v>
      </c>
      <c r="H569" s="7">
        <v>6175775</v>
      </c>
      <c r="J569" s="8" t="s">
        <v>37</v>
      </c>
      <c r="K569" s="8">
        <v>0</v>
      </c>
    </row>
    <row r="570" spans="1:11" x14ac:dyDescent="0.3">
      <c r="A570" s="8">
        <v>568</v>
      </c>
      <c r="B570" s="4" t="s">
        <v>376</v>
      </c>
      <c r="C570" s="4">
        <v>17</v>
      </c>
      <c r="D570" s="4">
        <v>4329035</v>
      </c>
      <c r="E570" s="5" t="s">
        <v>371</v>
      </c>
      <c r="F570" s="6">
        <v>20000</v>
      </c>
      <c r="G570" s="7">
        <v>0</v>
      </c>
      <c r="H570" s="7">
        <v>6155775</v>
      </c>
      <c r="J570" s="8" t="s">
        <v>37</v>
      </c>
      <c r="K570" s="8">
        <v>0</v>
      </c>
    </row>
    <row r="571" spans="1:11" x14ac:dyDescent="0.3">
      <c r="A571" s="8">
        <v>569</v>
      </c>
      <c r="B571" s="4" t="s">
        <v>376</v>
      </c>
      <c r="C571" s="4">
        <v>17</v>
      </c>
      <c r="D571" s="4">
        <v>1077</v>
      </c>
      <c r="E571" s="5" t="s">
        <v>377</v>
      </c>
      <c r="F571" s="6">
        <v>0</v>
      </c>
      <c r="G571" s="7">
        <v>59552</v>
      </c>
      <c r="H571" s="7">
        <v>6215327</v>
      </c>
      <c r="J571" s="9" t="s">
        <v>290</v>
      </c>
      <c r="K571" s="8">
        <v>0</v>
      </c>
    </row>
    <row r="572" spans="1:11" x14ac:dyDescent="0.3">
      <c r="A572" s="8">
        <v>570</v>
      </c>
      <c r="B572" s="4" t="s">
        <v>376</v>
      </c>
      <c r="C572" s="4">
        <v>17</v>
      </c>
      <c r="D572" s="4">
        <v>4329035</v>
      </c>
      <c r="E572" s="5" t="s">
        <v>371</v>
      </c>
      <c r="F572" s="6">
        <v>60000</v>
      </c>
      <c r="G572" s="7">
        <v>0</v>
      </c>
      <c r="H572" s="7">
        <v>6155327</v>
      </c>
      <c r="J572" s="8" t="s">
        <v>37</v>
      </c>
      <c r="K572" s="8">
        <v>0</v>
      </c>
    </row>
    <row r="573" spans="1:11" x14ac:dyDescent="0.3">
      <c r="A573" s="8">
        <v>572</v>
      </c>
      <c r="B573" s="4" t="s">
        <v>378</v>
      </c>
      <c r="C573" s="4">
        <v>17</v>
      </c>
      <c r="D573" s="4">
        <v>7069722</v>
      </c>
      <c r="E573" s="5" t="s">
        <v>379</v>
      </c>
      <c r="F573" s="6">
        <v>47600</v>
      </c>
      <c r="G573" s="7">
        <v>0</v>
      </c>
      <c r="H573" s="7">
        <v>13107727</v>
      </c>
      <c r="J573" s="8" t="s">
        <v>48</v>
      </c>
      <c r="K573" s="8" t="str">
        <f>VLOOKUP(F573,'[1]145-Lago Verde'!$J$3:$O$73,6,0)</f>
        <v>Lago Verde</v>
      </c>
    </row>
    <row r="574" spans="1:11" x14ac:dyDescent="0.3">
      <c r="A574" s="8">
        <v>573</v>
      </c>
      <c r="B574" s="4" t="s">
        <v>378</v>
      </c>
      <c r="C574" s="4">
        <v>17</v>
      </c>
      <c r="D574" s="4">
        <v>7064695</v>
      </c>
      <c r="E574" s="5" t="s">
        <v>335</v>
      </c>
      <c r="F574" s="6">
        <v>345100</v>
      </c>
      <c r="G574" s="7">
        <v>0</v>
      </c>
      <c r="H574" s="7">
        <v>12762627</v>
      </c>
      <c r="J574" s="8" t="s">
        <v>48</v>
      </c>
      <c r="K574" s="8" t="str">
        <f>VLOOKUP(F574,'[1]147-Melipilla'!$I$8:$N$13,6,0)</f>
        <v>Melipilla</v>
      </c>
    </row>
    <row r="575" spans="1:11" x14ac:dyDescent="0.3">
      <c r="A575" s="8">
        <v>574</v>
      </c>
      <c r="B575" s="4" t="s">
        <v>378</v>
      </c>
      <c r="C575" s="4">
        <v>17</v>
      </c>
      <c r="D575" s="4">
        <v>7064693</v>
      </c>
      <c r="E575" s="5" t="s">
        <v>335</v>
      </c>
      <c r="F575" s="6">
        <v>5000000</v>
      </c>
      <c r="G575" s="7">
        <v>0</v>
      </c>
      <c r="H575" s="7">
        <v>7762627</v>
      </c>
      <c r="J575" s="8" t="s">
        <v>48</v>
      </c>
      <c r="K575" s="8" t="str">
        <f>VLOOKUP(F575,'[1]145-Lago Verde'!$J$3:$O$73,6,0)</f>
        <v>Lago Verde</v>
      </c>
    </row>
    <row r="576" spans="1:11" x14ac:dyDescent="0.3">
      <c r="A576" s="8">
        <v>575</v>
      </c>
      <c r="B576" s="4" t="s">
        <v>378</v>
      </c>
      <c r="C576" s="4">
        <v>17</v>
      </c>
      <c r="D576" s="4">
        <v>7064686</v>
      </c>
      <c r="E576" s="5" t="s">
        <v>335</v>
      </c>
      <c r="F576" s="6">
        <v>2139800</v>
      </c>
      <c r="G576" s="7">
        <v>0</v>
      </c>
      <c r="H576" s="7">
        <v>5622827</v>
      </c>
      <c r="J576" s="8" t="s">
        <v>48</v>
      </c>
      <c r="K576" s="8" t="str">
        <f>VLOOKUP(F576,'[1]145-Lago Verde'!$J$3:$O$73,6,0)</f>
        <v>Lago Verde</v>
      </c>
    </row>
    <row r="577" spans="1:11" x14ac:dyDescent="0.3">
      <c r="A577" s="8">
        <v>571</v>
      </c>
      <c r="B577" s="4" t="s">
        <v>378</v>
      </c>
      <c r="C577" s="4">
        <v>17</v>
      </c>
      <c r="D577" s="4">
        <v>1077</v>
      </c>
      <c r="E577" s="5" t="s">
        <v>12</v>
      </c>
      <c r="F577" s="6">
        <v>0</v>
      </c>
      <c r="G577" s="7">
        <v>7000000</v>
      </c>
      <c r="H577" s="7">
        <v>13155327</v>
      </c>
      <c r="J577" s="8" t="s">
        <v>13</v>
      </c>
      <c r="K577" s="8">
        <f>VLOOKUP(F577,'[2]Cartola 05-2026'!$J$2:$S$85,10,0)</f>
        <v>0</v>
      </c>
    </row>
    <row r="578" spans="1:11" x14ac:dyDescent="0.3">
      <c r="A578" s="8">
        <v>576</v>
      </c>
      <c r="B578" s="4" t="s">
        <v>378</v>
      </c>
      <c r="C578" s="4">
        <v>17</v>
      </c>
      <c r="D578" s="4">
        <v>7073131</v>
      </c>
      <c r="E578" s="5" t="s">
        <v>380</v>
      </c>
      <c r="F578" s="6">
        <v>1000000</v>
      </c>
      <c r="G578" s="7">
        <v>0</v>
      </c>
      <c r="H578" s="7">
        <v>4622827</v>
      </c>
      <c r="J578" s="8" t="s">
        <v>48</v>
      </c>
      <c r="K578" s="8" t="str">
        <f>VLOOKUP(F578,'[2]Cartola 05-2026'!$J$2:$S$85,10,0)</f>
        <v>PR-150</v>
      </c>
    </row>
    <row r="579" spans="1:11" x14ac:dyDescent="0.3">
      <c r="A579" s="8">
        <v>577</v>
      </c>
      <c r="B579" s="4" t="s">
        <v>378</v>
      </c>
      <c r="C579" s="4">
        <v>17</v>
      </c>
      <c r="D579" s="4">
        <v>7064687</v>
      </c>
      <c r="E579" s="5" t="s">
        <v>342</v>
      </c>
      <c r="F579" s="6">
        <v>4348950</v>
      </c>
      <c r="G579" s="7">
        <v>0</v>
      </c>
      <c r="H579" s="7">
        <v>273877</v>
      </c>
      <c r="J579" s="8" t="s">
        <v>48</v>
      </c>
      <c r="K579" s="8" t="str">
        <f>VLOOKUP(F579,'[2]Cartola 05-2026'!$J$2:$S$85,10,0)</f>
        <v>PR-149</v>
      </c>
    </row>
    <row r="580" spans="1:11" x14ac:dyDescent="0.3">
      <c r="A580" s="8">
        <v>578</v>
      </c>
      <c r="B580" s="4" t="s">
        <v>378</v>
      </c>
      <c r="C580" s="4">
        <v>17</v>
      </c>
      <c r="D580" s="4">
        <v>4407983</v>
      </c>
      <c r="E580" s="5" t="s">
        <v>155</v>
      </c>
      <c r="F580" s="6">
        <v>20900</v>
      </c>
      <c r="G580" s="7">
        <v>0</v>
      </c>
      <c r="H580" s="7">
        <v>252977</v>
      </c>
      <c r="J580" s="8" t="s">
        <v>477</v>
      </c>
      <c r="K580" s="8" t="s">
        <v>477</v>
      </c>
    </row>
    <row r="581" spans="1:11" x14ac:dyDescent="0.3">
      <c r="A581" s="8">
        <v>579</v>
      </c>
      <c r="B581" s="4" t="s">
        <v>378</v>
      </c>
      <c r="C581" s="4">
        <v>17</v>
      </c>
      <c r="D581" s="4">
        <v>4407983</v>
      </c>
      <c r="E581" s="5" t="s">
        <v>155</v>
      </c>
      <c r="F581" s="6">
        <v>20900</v>
      </c>
      <c r="G581" s="7">
        <v>0</v>
      </c>
      <c r="H581" s="7">
        <v>232077</v>
      </c>
      <c r="J581" s="8" t="s">
        <v>477</v>
      </c>
      <c r="K581" s="8" t="s">
        <v>477</v>
      </c>
    </row>
    <row r="582" spans="1:11" x14ac:dyDescent="0.3">
      <c r="A582" s="8">
        <v>580</v>
      </c>
      <c r="B582" s="4" t="s">
        <v>378</v>
      </c>
      <c r="C582" s="4">
        <v>17</v>
      </c>
      <c r="D582" s="4">
        <v>1458</v>
      </c>
      <c r="E582" s="5" t="s">
        <v>26</v>
      </c>
      <c r="F582" s="6">
        <v>5349</v>
      </c>
      <c r="G582" s="7">
        <v>0</v>
      </c>
      <c r="H582" s="7">
        <v>226728</v>
      </c>
      <c r="J582" s="8" t="s">
        <v>27</v>
      </c>
      <c r="K582" s="8">
        <f>VLOOKUP(F582,'[2]Cartola 05-2026'!$J$2:$S$85,10,0)</f>
        <v>0</v>
      </c>
    </row>
    <row r="583" spans="1:11" x14ac:dyDescent="0.3">
      <c r="A583" s="8">
        <v>581</v>
      </c>
      <c r="B583" s="4" t="s">
        <v>381</v>
      </c>
      <c r="C583" s="4">
        <v>17</v>
      </c>
      <c r="D583" s="4"/>
      <c r="E583" s="5" t="s">
        <v>382</v>
      </c>
      <c r="F583" s="6">
        <v>40000</v>
      </c>
      <c r="G583" s="7">
        <v>0</v>
      </c>
      <c r="H583" s="7">
        <v>186728</v>
      </c>
      <c r="J583" s="8" t="s">
        <v>54</v>
      </c>
      <c r="K583" s="8">
        <f>VLOOKUP(F583,'[2]Cartola 05-2026'!$J$2:$S$85,10,0)</f>
        <v>0</v>
      </c>
    </row>
    <row r="584" spans="1:11" x14ac:dyDescent="0.3">
      <c r="A584" s="8">
        <v>582</v>
      </c>
      <c r="B584" s="4" t="s">
        <v>381</v>
      </c>
      <c r="C584" s="4">
        <v>17</v>
      </c>
      <c r="D584" s="4">
        <v>7048038</v>
      </c>
      <c r="E584" s="5" t="s">
        <v>383</v>
      </c>
      <c r="F584" s="6">
        <v>57629</v>
      </c>
      <c r="G584" s="7">
        <v>0</v>
      </c>
      <c r="H584" s="7">
        <v>129099</v>
      </c>
      <c r="J584" s="8" t="s">
        <v>478</v>
      </c>
      <c r="K584" s="8">
        <f>VLOOKUP(F584,'[2]Cartola 05-2026'!$J$2:$S$85,10,0)</f>
        <v>0</v>
      </c>
    </row>
    <row r="585" spans="1:11" x14ac:dyDescent="0.3">
      <c r="A585" s="8">
        <v>583</v>
      </c>
      <c r="B585" s="4" t="s">
        <v>381</v>
      </c>
      <c r="C585" s="4">
        <v>17</v>
      </c>
      <c r="D585" s="4">
        <v>7048032</v>
      </c>
      <c r="E585" s="5" t="s">
        <v>34</v>
      </c>
      <c r="F585" s="6">
        <v>75000</v>
      </c>
      <c r="G585" s="7">
        <v>0</v>
      </c>
      <c r="H585" s="7">
        <v>54099</v>
      </c>
      <c r="J585" s="8" t="s">
        <v>48</v>
      </c>
      <c r="K585" s="8" t="str">
        <f>VLOOKUP(F585,'[2]Cartola 05-2026'!$J$2:$S$85,10,0)</f>
        <v>PR-140</v>
      </c>
    </row>
    <row r="586" spans="1:11" x14ac:dyDescent="0.3">
      <c r="A586" s="8">
        <v>584</v>
      </c>
      <c r="B586" s="4" t="s">
        <v>384</v>
      </c>
      <c r="C586" s="4">
        <v>17</v>
      </c>
      <c r="D586" s="4">
        <v>1086273</v>
      </c>
      <c r="E586" s="5" t="s">
        <v>126</v>
      </c>
      <c r="F586" s="6">
        <v>6990</v>
      </c>
      <c r="G586" s="7">
        <v>0</v>
      </c>
      <c r="H586" s="7">
        <v>47109</v>
      </c>
      <c r="J586" s="8" t="s">
        <v>48</v>
      </c>
      <c r="K586" s="8" t="str">
        <f>VLOOKUP(F586,'[2]Cartola 05-2026'!$J$2:$S$85,10,0)</f>
        <v>OC-3719</v>
      </c>
    </row>
    <row r="587" spans="1:11" x14ac:dyDescent="0.3">
      <c r="A587" s="8">
        <v>585</v>
      </c>
      <c r="B587" s="4" t="s">
        <v>384</v>
      </c>
      <c r="C587" s="4">
        <v>17</v>
      </c>
      <c r="D587" s="4">
        <v>4053308</v>
      </c>
      <c r="E587" s="5" t="s">
        <v>49</v>
      </c>
      <c r="F587" s="6">
        <v>23990</v>
      </c>
      <c r="G587" s="7">
        <v>0</v>
      </c>
      <c r="H587" s="7">
        <v>23119</v>
      </c>
      <c r="J587" s="8" t="s">
        <v>48</v>
      </c>
      <c r="K587" s="8" t="str">
        <f>VLOOKUP(F587,'[2]Cartola 05-2026'!$J$2:$S$85,10,0)</f>
        <v>OC-3720</v>
      </c>
    </row>
    <row r="588" spans="1:11" x14ac:dyDescent="0.3">
      <c r="A588" s="8">
        <v>586</v>
      </c>
      <c r="B588" s="4" t="s">
        <v>385</v>
      </c>
      <c r="C588" s="4">
        <v>17</v>
      </c>
      <c r="D588" s="4">
        <v>1077</v>
      </c>
      <c r="E588" s="5" t="s">
        <v>12</v>
      </c>
      <c r="F588" s="6">
        <v>0</v>
      </c>
      <c r="G588" s="7">
        <v>7000000</v>
      </c>
      <c r="H588" s="7">
        <v>7023119</v>
      </c>
      <c r="J588" s="8" t="s">
        <v>13</v>
      </c>
      <c r="K588" s="8">
        <f>VLOOKUP(F588,'[2]Cartola 05-2026'!$J$2:$S$85,10,0)</f>
        <v>0</v>
      </c>
    </row>
    <row r="589" spans="1:11" x14ac:dyDescent="0.3">
      <c r="A589" s="8">
        <v>587</v>
      </c>
      <c r="B589" s="4" t="s">
        <v>385</v>
      </c>
      <c r="C589" s="4">
        <v>17</v>
      </c>
      <c r="D589" s="4">
        <v>7012374</v>
      </c>
      <c r="E589" s="5" t="s">
        <v>19</v>
      </c>
      <c r="F589" s="6">
        <v>99894</v>
      </c>
      <c r="G589" s="7">
        <v>0</v>
      </c>
      <c r="H589" s="7">
        <v>6923225</v>
      </c>
      <c r="J589" s="8" t="s">
        <v>48</v>
      </c>
      <c r="K589" s="8" t="str">
        <f>VLOOKUP(F589,'[2]Cartola 05-2026'!$J$2:$S$85,10,0)</f>
        <v>OC- 3715</v>
      </c>
    </row>
    <row r="590" spans="1:11" x14ac:dyDescent="0.3">
      <c r="A590" s="8">
        <v>588</v>
      </c>
      <c r="B590" s="4" t="s">
        <v>385</v>
      </c>
      <c r="C590" s="4">
        <v>18</v>
      </c>
      <c r="D590" s="4">
        <v>4427811</v>
      </c>
      <c r="E590" s="5" t="s">
        <v>279</v>
      </c>
      <c r="F590" s="6">
        <v>222300</v>
      </c>
      <c r="G590" s="7">
        <v>0</v>
      </c>
      <c r="H590" s="7">
        <v>6700925</v>
      </c>
      <c r="J590" s="8" t="s">
        <v>48</v>
      </c>
      <c r="K590" s="8" t="str">
        <f>VLOOKUP(F590,'[2]Cartola 05-2026'!$J$2:$S$85,10,0)</f>
        <v>OC-3721</v>
      </c>
    </row>
    <row r="591" spans="1:11" x14ac:dyDescent="0.3">
      <c r="A591" s="8">
        <v>589</v>
      </c>
      <c r="B591" s="4" t="s">
        <v>385</v>
      </c>
      <c r="C591" s="4">
        <v>18</v>
      </c>
      <c r="D591" s="4">
        <v>3511962</v>
      </c>
      <c r="E591" s="5" t="s">
        <v>278</v>
      </c>
      <c r="F591" s="6">
        <v>43700</v>
      </c>
      <c r="G591" s="7">
        <v>0</v>
      </c>
      <c r="H591" s="7">
        <v>6657225</v>
      </c>
      <c r="J591" s="8" t="s">
        <v>48</v>
      </c>
      <c r="K591" s="8" t="str">
        <f>VLOOKUP(F591,'[2]Cartola 05-2026'!$J$2:$S$85,10,0)</f>
        <v>OC-3717</v>
      </c>
    </row>
    <row r="592" spans="1:11" x14ac:dyDescent="0.3">
      <c r="A592" s="8">
        <v>590</v>
      </c>
      <c r="B592" s="4" t="s">
        <v>385</v>
      </c>
      <c r="C592" s="4">
        <v>18</v>
      </c>
      <c r="D592" s="4">
        <v>4329035</v>
      </c>
      <c r="E592" s="5" t="s">
        <v>371</v>
      </c>
      <c r="F592" s="6">
        <v>60000</v>
      </c>
      <c r="G592" s="7">
        <v>0</v>
      </c>
      <c r="H592" s="7">
        <v>6597225</v>
      </c>
      <c r="J592" s="8" t="s">
        <v>37</v>
      </c>
      <c r="K592" s="8">
        <f>VLOOKUP(F592,'[2]Cartola 05-2026'!$J$2:$S$85,10,0)</f>
        <v>0</v>
      </c>
    </row>
    <row r="593" spans="1:11" x14ac:dyDescent="0.3">
      <c r="A593" s="8">
        <v>591</v>
      </c>
      <c r="B593" s="4" t="s">
        <v>385</v>
      </c>
      <c r="C593" s="4">
        <v>18</v>
      </c>
      <c r="D593" s="4">
        <v>4523187</v>
      </c>
      <c r="E593" s="5" t="s">
        <v>386</v>
      </c>
      <c r="F593" s="6">
        <v>2600</v>
      </c>
      <c r="G593" s="7">
        <v>0</v>
      </c>
      <c r="H593" s="7">
        <v>6594625</v>
      </c>
      <c r="J593" s="11" t="s">
        <v>479</v>
      </c>
      <c r="K593" s="8">
        <f>VLOOKUP(F593,'[2]Cartola 05-2026'!$J$2:$S$85,10,0)</f>
        <v>0</v>
      </c>
    </row>
    <row r="594" spans="1:11" x14ac:dyDescent="0.3">
      <c r="A594" s="8">
        <v>592</v>
      </c>
      <c r="B594" s="4" t="s">
        <v>387</v>
      </c>
      <c r="C594" s="4">
        <v>18</v>
      </c>
      <c r="D594" s="4">
        <v>7055563</v>
      </c>
      <c r="E594" s="5" t="s">
        <v>380</v>
      </c>
      <c r="F594" s="6">
        <v>184050</v>
      </c>
      <c r="G594" s="7">
        <v>0</v>
      </c>
      <c r="H594" s="7">
        <v>6410575</v>
      </c>
      <c r="J594" s="8" t="s">
        <v>48</v>
      </c>
      <c r="K594" s="8" t="str">
        <f>VLOOKUP(F594,'[2]Cartola 05-2026'!$J$2:$S$85,10,0)</f>
        <v>PR-150</v>
      </c>
    </row>
    <row r="595" spans="1:11" x14ac:dyDescent="0.3">
      <c r="A595" s="8">
        <v>593</v>
      </c>
      <c r="B595" s="4" t="s">
        <v>387</v>
      </c>
      <c r="C595" s="4">
        <v>18</v>
      </c>
      <c r="D595" s="4">
        <v>7033815</v>
      </c>
      <c r="E595" s="5" t="s">
        <v>388</v>
      </c>
      <c r="F595" s="6">
        <v>297500</v>
      </c>
      <c r="G595" s="7">
        <v>0</v>
      </c>
      <c r="H595" s="7">
        <v>6113075</v>
      </c>
      <c r="J595" s="8" t="s">
        <v>48</v>
      </c>
      <c r="K595" s="8" t="s">
        <v>480</v>
      </c>
    </row>
    <row r="596" spans="1:11" x14ac:dyDescent="0.3">
      <c r="A596" s="8">
        <v>594</v>
      </c>
      <c r="B596" s="4" t="s">
        <v>387</v>
      </c>
      <c r="C596" s="4">
        <v>18</v>
      </c>
      <c r="D596" s="4">
        <v>7053721</v>
      </c>
      <c r="E596" s="5" t="s">
        <v>253</v>
      </c>
      <c r="F596" s="6">
        <v>78970</v>
      </c>
      <c r="G596" s="7">
        <v>0</v>
      </c>
      <c r="H596" s="7">
        <v>6034105</v>
      </c>
      <c r="J596" s="8" t="s">
        <v>48</v>
      </c>
      <c r="K596" s="11" t="s">
        <v>481</v>
      </c>
    </row>
    <row r="597" spans="1:11" x14ac:dyDescent="0.3">
      <c r="A597" s="8">
        <v>595</v>
      </c>
      <c r="B597" s="4" t="s">
        <v>387</v>
      </c>
      <c r="C597" s="4">
        <v>18</v>
      </c>
      <c r="D597" s="4"/>
      <c r="E597" s="5" t="s">
        <v>389</v>
      </c>
      <c r="F597" s="6">
        <v>20000</v>
      </c>
      <c r="G597" s="7">
        <v>0</v>
      </c>
      <c r="H597" s="7">
        <v>6014105</v>
      </c>
      <c r="J597" s="8" t="s">
        <v>54</v>
      </c>
      <c r="K597" s="8">
        <f>VLOOKUP(F597,'[2]Cartola 05-2026'!$J$2:$S$85,10,0)</f>
        <v>0</v>
      </c>
    </row>
    <row r="598" spans="1:11" x14ac:dyDescent="0.3">
      <c r="A598" s="8">
        <v>596</v>
      </c>
      <c r="B598" s="4" t="s">
        <v>387</v>
      </c>
      <c r="C598" s="4">
        <v>18</v>
      </c>
      <c r="D598" s="4">
        <v>1085729</v>
      </c>
      <c r="E598" s="5" t="s">
        <v>240</v>
      </c>
      <c r="F598" s="6">
        <v>46760</v>
      </c>
      <c r="G598" s="7">
        <v>0</v>
      </c>
      <c r="H598" s="7">
        <v>5967345</v>
      </c>
      <c r="J598" s="8" t="s">
        <v>48</v>
      </c>
      <c r="K598" s="8" t="str">
        <f>VLOOKUP(F598,'[2]Cartola 05-2026'!$J$2:$S$85,10,0)</f>
        <v>OC-3718</v>
      </c>
    </row>
    <row r="599" spans="1:11" x14ac:dyDescent="0.3">
      <c r="A599" s="8">
        <v>597</v>
      </c>
      <c r="B599" s="4" t="s">
        <v>387</v>
      </c>
      <c r="C599" s="4">
        <v>18</v>
      </c>
      <c r="D599" s="4">
        <v>4523187</v>
      </c>
      <c r="E599" s="5" t="s">
        <v>386</v>
      </c>
      <c r="F599" s="6">
        <v>2750</v>
      </c>
      <c r="G599" s="7">
        <v>0</v>
      </c>
      <c r="H599" s="7">
        <v>5964595</v>
      </c>
      <c r="J599" s="8" t="s">
        <v>479</v>
      </c>
      <c r="K599" s="8">
        <f>VLOOKUP(F599,'[2]Cartola 05-2026'!$J$2:$S$85,10,0)</f>
        <v>0</v>
      </c>
    </row>
    <row r="600" spans="1:11" x14ac:dyDescent="0.3">
      <c r="A600" s="8">
        <v>598</v>
      </c>
      <c r="B600" s="4" t="s">
        <v>390</v>
      </c>
      <c r="C600" s="4">
        <v>18</v>
      </c>
      <c r="D600" s="4">
        <v>4488031</v>
      </c>
      <c r="E600" s="5" t="s">
        <v>50</v>
      </c>
      <c r="F600" s="6">
        <v>12890</v>
      </c>
      <c r="G600" s="7">
        <v>0</v>
      </c>
      <c r="H600" s="7">
        <v>5951705</v>
      </c>
      <c r="J600" s="8" t="s">
        <v>48</v>
      </c>
      <c r="K600" s="11" t="s">
        <v>482</v>
      </c>
    </row>
    <row r="601" spans="1:11" x14ac:dyDescent="0.3">
      <c r="A601" s="8">
        <v>599</v>
      </c>
      <c r="B601" s="4" t="s">
        <v>390</v>
      </c>
      <c r="C601" s="4">
        <v>18</v>
      </c>
      <c r="D601" s="4">
        <v>7009766</v>
      </c>
      <c r="E601" s="5" t="s">
        <v>391</v>
      </c>
      <c r="F601" s="6">
        <v>1000000</v>
      </c>
      <c r="G601" s="7">
        <v>0</v>
      </c>
      <c r="H601" s="7">
        <v>4951705</v>
      </c>
      <c r="J601" s="8" t="s">
        <v>48</v>
      </c>
      <c r="K601" s="8" t="str">
        <f>VLOOKUP(F601,'[2]Cartola 05-2026'!$J$2:$S$85,10,0)</f>
        <v>PR-150</v>
      </c>
    </row>
    <row r="602" spans="1:11" x14ac:dyDescent="0.3">
      <c r="A602" s="8">
        <v>600</v>
      </c>
      <c r="B602" s="4" t="s">
        <v>390</v>
      </c>
      <c r="C602" s="4">
        <v>18</v>
      </c>
      <c r="D602" s="4">
        <v>7042293</v>
      </c>
      <c r="E602" s="5" t="s">
        <v>391</v>
      </c>
      <c r="F602" s="6">
        <v>1000000</v>
      </c>
      <c r="G602" s="7">
        <v>0</v>
      </c>
      <c r="H602" s="7">
        <v>3951705</v>
      </c>
      <c r="J602" s="8" t="s">
        <v>48</v>
      </c>
      <c r="K602" s="8" t="str">
        <f>VLOOKUP(F602,'[2]Cartola 05-2026'!$J$2:$S$85,10,0)</f>
        <v>PR-150</v>
      </c>
    </row>
    <row r="603" spans="1:11" x14ac:dyDescent="0.3">
      <c r="A603" s="8">
        <v>601</v>
      </c>
      <c r="B603" s="4" t="s">
        <v>392</v>
      </c>
      <c r="C603" s="4">
        <v>18</v>
      </c>
      <c r="D603" s="4">
        <v>1077</v>
      </c>
      <c r="E603" s="5" t="s">
        <v>393</v>
      </c>
      <c r="F603" s="6">
        <v>0</v>
      </c>
      <c r="G603" s="7">
        <v>250000</v>
      </c>
      <c r="H603" s="7">
        <v>4201705</v>
      </c>
      <c r="J603" s="9" t="s">
        <v>290</v>
      </c>
      <c r="K603" s="8">
        <f>VLOOKUP(F603,'[2]Cartola 05-2026'!$J$2:$S$85,10,0)</f>
        <v>0</v>
      </c>
    </row>
    <row r="604" spans="1:11" x14ac:dyDescent="0.3">
      <c r="A604" s="8">
        <v>602</v>
      </c>
      <c r="B604" s="4" t="s">
        <v>392</v>
      </c>
      <c r="C604" s="4">
        <v>18</v>
      </c>
      <c r="D604" s="4">
        <v>7090348</v>
      </c>
      <c r="E604" s="5" t="s">
        <v>64</v>
      </c>
      <c r="F604" s="6">
        <v>2677023</v>
      </c>
      <c r="G604" s="7">
        <v>0</v>
      </c>
      <c r="H604" s="7">
        <v>1524682</v>
      </c>
      <c r="J604" s="8" t="s">
        <v>65</v>
      </c>
      <c r="K604" s="8">
        <f>VLOOKUP(F604,'[2]Cartola 05-2026'!$J$2:$S$85,10,0)</f>
        <v>0</v>
      </c>
    </row>
    <row r="605" spans="1:11" x14ac:dyDescent="0.3">
      <c r="A605" s="8">
        <v>603</v>
      </c>
      <c r="B605" s="4" t="s">
        <v>394</v>
      </c>
      <c r="C605" s="4">
        <v>18</v>
      </c>
      <c r="D605" s="4"/>
      <c r="E605" s="5" t="s">
        <v>395</v>
      </c>
      <c r="F605" s="6">
        <v>40000</v>
      </c>
      <c r="G605" s="7">
        <v>0</v>
      </c>
      <c r="H605" s="7">
        <v>1484682</v>
      </c>
      <c r="J605" s="8" t="s">
        <v>54</v>
      </c>
      <c r="K605" s="8">
        <f>VLOOKUP(F605,'[2]Cartola 05-2026'!$J$2:$S$85,10,0)</f>
        <v>0</v>
      </c>
    </row>
    <row r="606" spans="1:11" x14ac:dyDescent="0.3">
      <c r="A606" s="8">
        <v>604</v>
      </c>
      <c r="B606" s="4" t="s">
        <v>394</v>
      </c>
      <c r="C606" s="4">
        <v>18</v>
      </c>
      <c r="D606" s="4">
        <v>4329035</v>
      </c>
      <c r="E606" s="5" t="s">
        <v>371</v>
      </c>
      <c r="F606" s="6">
        <v>32876</v>
      </c>
      <c r="G606" s="7">
        <v>0</v>
      </c>
      <c r="H606" s="7">
        <v>1451806</v>
      </c>
      <c r="J606" s="8" t="s">
        <v>37</v>
      </c>
      <c r="K606" s="8">
        <f>VLOOKUP(F606,'[2]Cartola 05-2026'!$J$2:$S$85,10,0)</f>
        <v>0</v>
      </c>
    </row>
    <row r="607" spans="1:11" x14ac:dyDescent="0.3">
      <c r="A607" s="8">
        <v>605</v>
      </c>
      <c r="B607" s="4" t="s">
        <v>396</v>
      </c>
      <c r="C607" s="4">
        <v>18</v>
      </c>
      <c r="D607" s="4">
        <v>4520744</v>
      </c>
      <c r="E607" s="5" t="s">
        <v>136</v>
      </c>
      <c r="F607" s="6">
        <v>4001</v>
      </c>
      <c r="G607" s="7">
        <v>0</v>
      </c>
      <c r="H607" s="7">
        <v>1447805</v>
      </c>
      <c r="J607" s="8" t="s">
        <v>48</v>
      </c>
      <c r="K607" s="8">
        <f>VLOOKUP(F607,'[2]Cartola 05-2026'!$J$2:$S$85,10,0)</f>
        <v>0</v>
      </c>
    </row>
    <row r="608" spans="1:11" x14ac:dyDescent="0.3">
      <c r="A608" s="8">
        <v>606</v>
      </c>
      <c r="B608" s="4" t="s">
        <v>396</v>
      </c>
      <c r="C608" s="4">
        <v>18</v>
      </c>
      <c r="D608" s="4"/>
      <c r="E608" s="5" t="s">
        <v>397</v>
      </c>
      <c r="F608" s="6">
        <v>20000</v>
      </c>
      <c r="G608" s="7">
        <v>0</v>
      </c>
      <c r="H608" s="7">
        <v>1427805</v>
      </c>
      <c r="J608" s="8" t="s">
        <v>54</v>
      </c>
      <c r="K608" s="8">
        <f>VLOOKUP(F608,'[2]Cartola 05-2026'!$J$2:$S$85,10,0)</f>
        <v>0</v>
      </c>
    </row>
    <row r="609" spans="1:11" ht="14.4" x14ac:dyDescent="0.3">
      <c r="A609" s="8">
        <v>607</v>
      </c>
      <c r="B609" s="4" t="s">
        <v>396</v>
      </c>
      <c r="C609" s="4">
        <v>18</v>
      </c>
      <c r="D609" s="4">
        <v>4980483</v>
      </c>
      <c r="E609" s="5" t="s">
        <v>398</v>
      </c>
      <c r="F609" s="6">
        <v>3100</v>
      </c>
      <c r="G609" s="7">
        <v>0</v>
      </c>
      <c r="H609" s="7">
        <v>1424705</v>
      </c>
      <c r="J609" s="8" t="s">
        <v>48</v>
      </c>
      <c r="K609" t="s">
        <v>483</v>
      </c>
    </row>
    <row r="610" spans="1:11" x14ac:dyDescent="0.3">
      <c r="A610" s="8">
        <v>608</v>
      </c>
      <c r="B610" s="4" t="s">
        <v>396</v>
      </c>
      <c r="C610" s="4">
        <v>18</v>
      </c>
      <c r="D610" s="4">
        <v>4329035</v>
      </c>
      <c r="E610" s="5" t="s">
        <v>371</v>
      </c>
      <c r="F610" s="6">
        <v>60000</v>
      </c>
      <c r="G610" s="7">
        <v>0</v>
      </c>
      <c r="H610" s="7">
        <v>1364705</v>
      </c>
      <c r="J610" s="8" t="s">
        <v>37</v>
      </c>
      <c r="K610" s="8">
        <f>VLOOKUP(F610,'[2]Cartola 05-2026'!$J$2:$S$85,10,0)</f>
        <v>0</v>
      </c>
    </row>
    <row r="611" spans="1:11" x14ac:dyDescent="0.3">
      <c r="A611" s="8">
        <v>609</v>
      </c>
      <c r="B611" s="4" t="s">
        <v>396</v>
      </c>
      <c r="C611" s="4">
        <v>18</v>
      </c>
      <c r="D611" s="4">
        <v>4520744</v>
      </c>
      <c r="E611" s="5" t="s">
        <v>136</v>
      </c>
      <c r="F611" s="6">
        <v>94650</v>
      </c>
      <c r="G611" s="7">
        <v>0</v>
      </c>
      <c r="H611" s="7">
        <v>1270055</v>
      </c>
      <c r="J611" s="8" t="s">
        <v>48</v>
      </c>
      <c r="K611" s="8" t="s">
        <v>484</v>
      </c>
    </row>
    <row r="612" spans="1:11" x14ac:dyDescent="0.3">
      <c r="A612" s="8">
        <v>610</v>
      </c>
      <c r="B612" s="4" t="s">
        <v>399</v>
      </c>
      <c r="C612" s="4">
        <v>18</v>
      </c>
      <c r="D612" s="4">
        <v>1077</v>
      </c>
      <c r="E612" s="5" t="s">
        <v>12</v>
      </c>
      <c r="F612" s="6">
        <v>0</v>
      </c>
      <c r="G612" s="7">
        <v>7000000</v>
      </c>
      <c r="H612" s="7">
        <v>8270055</v>
      </c>
      <c r="J612" s="8" t="s">
        <v>13</v>
      </c>
      <c r="K612" s="8">
        <f>VLOOKUP(F612,'[2]Cartola 05-2026'!$J$2:$S$85,10,0)</f>
        <v>0</v>
      </c>
    </row>
    <row r="613" spans="1:11" x14ac:dyDescent="0.3">
      <c r="A613" s="8">
        <v>611</v>
      </c>
      <c r="B613" s="4" t="s">
        <v>399</v>
      </c>
      <c r="C613" s="4">
        <v>18</v>
      </c>
      <c r="D613" s="4">
        <v>1077</v>
      </c>
      <c r="E613" s="5" t="s">
        <v>12</v>
      </c>
      <c r="F613" s="6">
        <v>0</v>
      </c>
      <c r="G613" s="7">
        <v>7000000</v>
      </c>
      <c r="H613" s="7">
        <v>15270055</v>
      </c>
      <c r="J613" s="8" t="s">
        <v>13</v>
      </c>
      <c r="K613" s="8">
        <f>VLOOKUP(F613,'[2]Cartola 05-2026'!$J$2:$S$85,10,0)</f>
        <v>0</v>
      </c>
    </row>
    <row r="614" spans="1:11" x14ac:dyDescent="0.3">
      <c r="A614" s="8">
        <v>612</v>
      </c>
      <c r="B614" s="4" t="s">
        <v>399</v>
      </c>
      <c r="C614" s="4">
        <v>18</v>
      </c>
      <c r="D614" s="4">
        <v>7058979</v>
      </c>
      <c r="E614" s="5" t="s">
        <v>400</v>
      </c>
      <c r="F614" s="6">
        <v>4000000</v>
      </c>
      <c r="G614" s="7">
        <v>0</v>
      </c>
      <c r="H614" s="7">
        <v>11270055</v>
      </c>
      <c r="J614" s="8" t="s">
        <v>48</v>
      </c>
      <c r="K614" s="8" t="str">
        <f>VLOOKUP(F614,'[2]Cartola 05-2026'!$J$2:$S$85,10,0)</f>
        <v>PR-155</v>
      </c>
    </row>
    <row r="615" spans="1:11" x14ac:dyDescent="0.3">
      <c r="A615" s="8">
        <v>613</v>
      </c>
      <c r="B615" s="4" t="s">
        <v>399</v>
      </c>
      <c r="C615" s="4">
        <v>18</v>
      </c>
      <c r="D615" s="4">
        <v>7058980</v>
      </c>
      <c r="E615" s="5" t="s">
        <v>400</v>
      </c>
      <c r="F615" s="6">
        <v>5000000</v>
      </c>
      <c r="G615" s="7">
        <v>0</v>
      </c>
      <c r="H615" s="7">
        <v>6270055</v>
      </c>
      <c r="J615" s="8" t="s">
        <v>48</v>
      </c>
      <c r="K615" s="8" t="str">
        <f>VLOOKUP(F615,'[2]Cartola 05-2026'!$J$2:$S$85,10,0)</f>
        <v>PR-145</v>
      </c>
    </row>
    <row r="616" spans="1:11" x14ac:dyDescent="0.3">
      <c r="A616" s="8">
        <v>614</v>
      </c>
      <c r="B616" s="4" t="s">
        <v>399</v>
      </c>
      <c r="C616" s="4">
        <v>18</v>
      </c>
      <c r="D616" s="4">
        <v>7058981</v>
      </c>
      <c r="E616" s="5" t="s">
        <v>400</v>
      </c>
      <c r="F616" s="6">
        <v>5000000</v>
      </c>
      <c r="G616" s="7">
        <v>0</v>
      </c>
      <c r="H616" s="7">
        <v>1270055</v>
      </c>
      <c r="J616" s="8" t="s">
        <v>48</v>
      </c>
      <c r="K616" s="8" t="str">
        <f>VLOOKUP(F616,'[2]Cartola 05-2026'!$J$2:$S$85,10,0)</f>
        <v>PR-145</v>
      </c>
    </row>
    <row r="617" spans="1:11" x14ac:dyDescent="0.3">
      <c r="A617" s="8">
        <v>615</v>
      </c>
      <c r="B617" s="4" t="s">
        <v>399</v>
      </c>
      <c r="C617" s="4">
        <v>18</v>
      </c>
      <c r="D617" s="4"/>
      <c r="E617" s="5" t="s">
        <v>401</v>
      </c>
      <c r="F617" s="6">
        <v>30000</v>
      </c>
      <c r="G617" s="7">
        <v>0</v>
      </c>
      <c r="H617" s="7">
        <v>1240055</v>
      </c>
      <c r="J617" s="8" t="s">
        <v>54</v>
      </c>
      <c r="K617" s="8">
        <f>VLOOKUP(F617,'[2]Cartola 05-2026'!$J$2:$S$85,10,0)</f>
        <v>0</v>
      </c>
    </row>
    <row r="618" spans="1:11" x14ac:dyDescent="0.3">
      <c r="A618" s="8">
        <v>616</v>
      </c>
      <c r="B618" s="4" t="s">
        <v>402</v>
      </c>
      <c r="C618" s="4">
        <v>18</v>
      </c>
      <c r="D618" s="4">
        <v>1121899</v>
      </c>
      <c r="E618" s="5" t="s">
        <v>403</v>
      </c>
      <c r="F618" s="6">
        <v>58900</v>
      </c>
      <c r="G618" s="7">
        <v>0</v>
      </c>
      <c r="H618" s="7">
        <v>1181155</v>
      </c>
      <c r="J618" s="8" t="s">
        <v>48</v>
      </c>
      <c r="K618" s="8" t="str">
        <f>VLOOKUP(F618,'[2]Cartola 05-2026'!$J$2:$S$85,10,0)</f>
        <v>F.52405</v>
      </c>
    </row>
    <row r="619" spans="1:11" x14ac:dyDescent="0.3">
      <c r="A619" s="8">
        <v>617</v>
      </c>
      <c r="B619" s="4" t="s">
        <v>402</v>
      </c>
      <c r="C619" s="4">
        <v>18</v>
      </c>
      <c r="D619" s="4"/>
      <c r="E619" s="5" t="s">
        <v>404</v>
      </c>
      <c r="F619" s="6">
        <v>20000</v>
      </c>
      <c r="G619" s="7">
        <v>0</v>
      </c>
      <c r="H619" s="7">
        <v>1161155</v>
      </c>
      <c r="J619" s="8" t="s">
        <v>54</v>
      </c>
      <c r="K619" s="8">
        <f>VLOOKUP(F619,'[2]Cartola 05-2026'!$J$2:$S$85,10,0)</f>
        <v>0</v>
      </c>
    </row>
    <row r="620" spans="1:11" x14ac:dyDescent="0.3">
      <c r="A620" s="8">
        <v>618</v>
      </c>
      <c r="B620" s="4" t="s">
        <v>402</v>
      </c>
      <c r="C620" s="4">
        <v>18</v>
      </c>
      <c r="D620" s="4">
        <v>7002543</v>
      </c>
      <c r="E620" s="5" t="s">
        <v>19</v>
      </c>
      <c r="F620" s="6">
        <v>38990</v>
      </c>
      <c r="G620" s="7">
        <v>0</v>
      </c>
      <c r="H620" s="7">
        <v>1122165</v>
      </c>
      <c r="J620" s="8" t="s">
        <v>20</v>
      </c>
      <c r="K620" s="8">
        <f>VLOOKUP(F620,'[2]Cartola 05-2026'!$J$2:$S$85,10,0)</f>
        <v>0</v>
      </c>
    </row>
    <row r="621" spans="1:11" x14ac:dyDescent="0.3">
      <c r="A621" s="8">
        <v>619</v>
      </c>
      <c r="B621" s="4" t="s">
        <v>402</v>
      </c>
      <c r="C621" s="4">
        <v>18</v>
      </c>
      <c r="D621" s="4">
        <v>4224961</v>
      </c>
      <c r="E621" s="5" t="s">
        <v>108</v>
      </c>
      <c r="F621" s="6">
        <v>280988</v>
      </c>
      <c r="G621" s="7">
        <v>0</v>
      </c>
      <c r="H621" s="7">
        <v>841177</v>
      </c>
      <c r="J621" s="8" t="s">
        <v>109</v>
      </c>
      <c r="K621" s="8" t="str">
        <f>VLOOKUP(F621,'[2]Cartola 05-2026'!$J$2:$S$85,10,0)</f>
        <v>F,53482804</v>
      </c>
    </row>
    <row r="622" spans="1:11" x14ac:dyDescent="0.3">
      <c r="A622" s="8">
        <v>620</v>
      </c>
      <c r="B622" s="4" t="s">
        <v>402</v>
      </c>
      <c r="C622" s="4">
        <v>18</v>
      </c>
      <c r="D622" s="4">
        <v>4225876</v>
      </c>
      <c r="E622" s="5" t="s">
        <v>32</v>
      </c>
      <c r="F622" s="6">
        <v>263200</v>
      </c>
      <c r="G622" s="7">
        <v>0</v>
      </c>
      <c r="H622" s="7">
        <v>577977</v>
      </c>
      <c r="J622" s="8" t="s">
        <v>33</v>
      </c>
      <c r="K622" s="8">
        <f>VLOOKUP(F622,'[2]Cartola 05-2026'!$J$2:$S$85,10,0)</f>
        <v>0</v>
      </c>
    </row>
    <row r="623" spans="1:11" x14ac:dyDescent="0.3">
      <c r="A623" s="8">
        <v>621</v>
      </c>
      <c r="B623" s="4" t="s">
        <v>405</v>
      </c>
      <c r="C623" s="4">
        <v>18</v>
      </c>
      <c r="D623" s="4">
        <v>1077</v>
      </c>
      <c r="E623" s="5" t="s">
        <v>12</v>
      </c>
      <c r="F623" s="6">
        <v>0</v>
      </c>
      <c r="G623" s="7">
        <v>7000000</v>
      </c>
      <c r="H623" s="7">
        <v>7577977</v>
      </c>
      <c r="J623" s="8" t="s">
        <v>13</v>
      </c>
      <c r="K623" s="8">
        <f>VLOOKUP(F623,'[2]Cartola 05-2026'!$J$2:$S$85,10,0)</f>
        <v>0</v>
      </c>
    </row>
    <row r="624" spans="1:11" x14ac:dyDescent="0.3">
      <c r="A624" s="8">
        <v>622</v>
      </c>
      <c r="B624" s="4" t="s">
        <v>405</v>
      </c>
      <c r="C624" s="4">
        <v>18</v>
      </c>
      <c r="D624" s="4">
        <v>4692375</v>
      </c>
      <c r="E624" s="5" t="s">
        <v>340</v>
      </c>
      <c r="F624" s="6">
        <v>5950</v>
      </c>
      <c r="G624" s="7">
        <v>0</v>
      </c>
      <c r="H624" s="7">
        <v>7572027</v>
      </c>
      <c r="J624" s="8" t="s">
        <v>479</v>
      </c>
      <c r="K624" s="8">
        <f>VLOOKUP(F624,'[2]Cartola 05-2026'!$J$2:$S$85,10,0)</f>
        <v>0</v>
      </c>
    </row>
    <row r="625" spans="1:11" x14ac:dyDescent="0.3">
      <c r="A625" s="8">
        <v>624</v>
      </c>
      <c r="B625" s="4" t="s">
        <v>405</v>
      </c>
      <c r="C625" s="4">
        <v>19</v>
      </c>
      <c r="D625" s="4">
        <v>7002922</v>
      </c>
      <c r="E625" s="5" t="s">
        <v>324</v>
      </c>
      <c r="F625" s="6">
        <v>4105500</v>
      </c>
      <c r="G625" s="7">
        <v>0</v>
      </c>
      <c r="H625" s="7">
        <v>3396527</v>
      </c>
      <c r="J625" s="8" t="s">
        <v>48</v>
      </c>
      <c r="K625" s="8" t="str">
        <f>VLOOKUP(F625,'[1]147-Melipilla'!$I$8:$N$13,6,0)</f>
        <v>Melipilla</v>
      </c>
    </row>
    <row r="626" spans="1:11" x14ac:dyDescent="0.3">
      <c r="A626" s="8">
        <v>623</v>
      </c>
      <c r="B626" s="4" t="s">
        <v>405</v>
      </c>
      <c r="C626" s="4">
        <v>18</v>
      </c>
      <c r="D626" s="4">
        <v>4329035</v>
      </c>
      <c r="E626" s="5" t="s">
        <v>371</v>
      </c>
      <c r="F626" s="6">
        <v>70000</v>
      </c>
      <c r="G626" s="7">
        <v>0</v>
      </c>
      <c r="H626" s="7">
        <v>7502027</v>
      </c>
      <c r="J626" s="8" t="s">
        <v>37</v>
      </c>
      <c r="K626" s="8" t="str">
        <f>VLOOKUP(F626,'[2]Cartola 05-2026'!$J$2:$S$85,10,0)</f>
        <v>F,161884</v>
      </c>
    </row>
    <row r="627" spans="1:11" x14ac:dyDescent="0.3">
      <c r="A627" s="8">
        <v>625</v>
      </c>
      <c r="B627" s="4" t="s">
        <v>405</v>
      </c>
      <c r="C627" s="4">
        <v>19</v>
      </c>
      <c r="D627" s="4"/>
      <c r="E627" s="5" t="s">
        <v>406</v>
      </c>
      <c r="F627" s="6">
        <v>40000</v>
      </c>
      <c r="G627" s="7">
        <v>0</v>
      </c>
      <c r="H627" s="7">
        <v>3356527</v>
      </c>
      <c r="J627" s="8" t="s">
        <v>54</v>
      </c>
      <c r="K627" s="8">
        <f>VLOOKUP(F627,'[2]Cartola 05-2026'!$J$2:$S$85,10,0)</f>
        <v>0</v>
      </c>
    </row>
    <row r="628" spans="1:11" x14ac:dyDescent="0.3">
      <c r="A628" s="8">
        <v>626</v>
      </c>
      <c r="B628" s="4" t="s">
        <v>405</v>
      </c>
      <c r="C628" s="4">
        <v>19</v>
      </c>
      <c r="D628" s="4">
        <v>4980483</v>
      </c>
      <c r="E628" s="5" t="s">
        <v>398</v>
      </c>
      <c r="F628" s="6">
        <v>21500</v>
      </c>
      <c r="G628" s="7">
        <v>0</v>
      </c>
      <c r="H628" s="7">
        <v>3335027</v>
      </c>
      <c r="J628" s="8" t="s">
        <v>48</v>
      </c>
      <c r="K628" s="8" t="str">
        <f>VLOOKUP(F628,'[2]Cartola 05-2026'!$J$2:$S$85,10,0)</f>
        <v>F.13928</v>
      </c>
    </row>
    <row r="629" spans="1:11" x14ac:dyDescent="0.3">
      <c r="A629" s="8">
        <v>627</v>
      </c>
      <c r="B629" s="4" t="s">
        <v>407</v>
      </c>
      <c r="C629" s="4">
        <v>19</v>
      </c>
      <c r="D629" s="4">
        <v>1077</v>
      </c>
      <c r="E629" s="5" t="s">
        <v>12</v>
      </c>
      <c r="F629" s="6">
        <v>0</v>
      </c>
      <c r="G629" s="7">
        <v>7000000</v>
      </c>
      <c r="H629" s="7">
        <v>10335027</v>
      </c>
      <c r="J629" s="8" t="s">
        <v>13</v>
      </c>
      <c r="K629" s="8">
        <f>VLOOKUP(F629,'[2]Cartola 05-2026'!$J$2:$S$85,10,0)</f>
        <v>0</v>
      </c>
    </row>
    <row r="630" spans="1:11" x14ac:dyDescent="0.3">
      <c r="A630" s="8">
        <v>628</v>
      </c>
      <c r="B630" s="4" t="s">
        <v>407</v>
      </c>
      <c r="C630" s="4">
        <v>19</v>
      </c>
      <c r="D630" s="4">
        <v>1077</v>
      </c>
      <c r="E630" s="5" t="s">
        <v>12</v>
      </c>
      <c r="F630" s="6">
        <v>0</v>
      </c>
      <c r="G630" s="7">
        <v>7000000</v>
      </c>
      <c r="H630" s="7">
        <v>17335027</v>
      </c>
      <c r="J630" s="8" t="s">
        <v>13</v>
      </c>
      <c r="K630" s="8">
        <f>VLOOKUP(F630,'[2]Cartola 05-2026'!$J$2:$S$85,10,0)</f>
        <v>0</v>
      </c>
    </row>
    <row r="631" spans="1:11" x14ac:dyDescent="0.3">
      <c r="A631" s="8">
        <v>629</v>
      </c>
      <c r="B631" s="4" t="s">
        <v>407</v>
      </c>
      <c r="C631" s="4">
        <v>19</v>
      </c>
      <c r="D631" s="4">
        <v>1077</v>
      </c>
      <c r="E631" s="5" t="s">
        <v>12</v>
      </c>
      <c r="F631" s="6">
        <v>0</v>
      </c>
      <c r="G631" s="7">
        <v>7000000</v>
      </c>
      <c r="H631" s="7">
        <v>24335027</v>
      </c>
      <c r="J631" s="8" t="s">
        <v>13</v>
      </c>
      <c r="K631" s="8">
        <f>VLOOKUP(F631,'[2]Cartola 05-2026'!$J$2:$S$85,10,0)</f>
        <v>0</v>
      </c>
    </row>
    <row r="632" spans="1:11" x14ac:dyDescent="0.3">
      <c r="A632" s="8">
        <v>630</v>
      </c>
      <c r="B632" s="4" t="s">
        <v>407</v>
      </c>
      <c r="C632" s="4">
        <v>19</v>
      </c>
      <c r="D632" s="4">
        <v>4488031</v>
      </c>
      <c r="E632" s="5" t="s">
        <v>50</v>
      </c>
      <c r="F632" s="6">
        <v>8970</v>
      </c>
      <c r="G632" s="7">
        <v>0</v>
      </c>
      <c r="H632" s="7">
        <v>24326057</v>
      </c>
      <c r="J632" s="8" t="s">
        <v>48</v>
      </c>
      <c r="K632" s="8" t="str">
        <f>VLOOKUP(F632,'[2]Cartola 05-2026'!$J$2:$S$85,10,0)</f>
        <v>F,4279</v>
      </c>
    </row>
    <row r="633" spans="1:11" x14ac:dyDescent="0.3">
      <c r="A633" s="8">
        <v>632</v>
      </c>
      <c r="B633" s="4" t="s">
        <v>407</v>
      </c>
      <c r="C633" s="4">
        <v>19</v>
      </c>
      <c r="D633" s="4">
        <v>7026145</v>
      </c>
      <c r="E633" s="5" t="s">
        <v>335</v>
      </c>
      <c r="F633" s="6">
        <v>345100</v>
      </c>
      <c r="G633" s="7">
        <v>0</v>
      </c>
      <c r="H633" s="7">
        <v>23600157</v>
      </c>
      <c r="J633" s="8" t="s">
        <v>48</v>
      </c>
      <c r="K633" s="8" t="str">
        <f>VLOOKUP(F633,'[1]147-Melipilla'!$I$8:$N$13,6,0)</f>
        <v>Melipilla</v>
      </c>
    </row>
    <row r="634" spans="1:11" x14ac:dyDescent="0.3">
      <c r="A634" s="8">
        <v>631</v>
      </c>
      <c r="B634" s="4" t="s">
        <v>407</v>
      </c>
      <c r="C634" s="4">
        <v>19</v>
      </c>
      <c r="D634" s="4">
        <v>7027909</v>
      </c>
      <c r="E634" s="5" t="s">
        <v>408</v>
      </c>
      <c r="F634" s="6">
        <v>380800</v>
      </c>
      <c r="G634" s="7">
        <v>0</v>
      </c>
      <c r="H634" s="7">
        <v>23945257</v>
      </c>
      <c r="J634" s="8" t="s">
        <v>48</v>
      </c>
      <c r="K634" s="8" t="str">
        <f>VLOOKUP(F634,'[2]Cartola 05-2026'!$J$2:$S$85,10,0)</f>
        <v>PR-155</v>
      </c>
    </row>
    <row r="635" spans="1:11" x14ac:dyDescent="0.3">
      <c r="A635" s="8">
        <v>633</v>
      </c>
      <c r="B635" s="4" t="s">
        <v>407</v>
      </c>
      <c r="C635" s="4">
        <v>19</v>
      </c>
      <c r="D635" s="4">
        <v>7022442</v>
      </c>
      <c r="E635" s="5" t="s">
        <v>19</v>
      </c>
      <c r="F635" s="6">
        <v>49566</v>
      </c>
      <c r="G635" s="7">
        <v>0</v>
      </c>
      <c r="H635" s="7">
        <v>23550591</v>
      </c>
      <c r="J635" s="8" t="s">
        <v>48</v>
      </c>
      <c r="K635" s="8" t="str">
        <f>VLOOKUP(F635,'[2]Cartola 05-2026'!$J$2:$S$85,10,0)</f>
        <v>F-172308</v>
      </c>
    </row>
    <row r="636" spans="1:11" x14ac:dyDescent="0.3">
      <c r="A636" s="8">
        <v>634</v>
      </c>
      <c r="B636" s="4" t="s">
        <v>407</v>
      </c>
      <c r="C636" s="4">
        <v>19</v>
      </c>
      <c r="D636" s="4">
        <v>7011964</v>
      </c>
      <c r="E636" s="5" t="s">
        <v>89</v>
      </c>
      <c r="F636" s="6">
        <v>17925840</v>
      </c>
      <c r="G636" s="7">
        <v>0</v>
      </c>
      <c r="H636" s="7">
        <v>5624751</v>
      </c>
      <c r="J636" s="8" t="s">
        <v>485</v>
      </c>
    </row>
    <row r="637" spans="1:11" x14ac:dyDescent="0.3">
      <c r="A637" s="8">
        <v>635</v>
      </c>
      <c r="B637" s="4" t="s">
        <v>407</v>
      </c>
      <c r="C637" s="4">
        <v>19</v>
      </c>
      <c r="D637" s="4">
        <v>7029096</v>
      </c>
      <c r="E637" s="5" t="s">
        <v>342</v>
      </c>
      <c r="F637" s="6">
        <v>119000</v>
      </c>
      <c r="G637" s="7">
        <v>0</v>
      </c>
      <c r="H637" s="7">
        <v>5505751</v>
      </c>
      <c r="J637" s="8" t="s">
        <v>48</v>
      </c>
      <c r="K637" s="8" t="str">
        <f>VLOOKUP(F637,'[2]Cartola 05-2026'!$J$2:$S$85,10,0)</f>
        <v>F.418</v>
      </c>
    </row>
    <row r="638" spans="1:11" x14ac:dyDescent="0.3">
      <c r="A638" s="8">
        <v>636</v>
      </c>
      <c r="B638" s="4" t="s">
        <v>407</v>
      </c>
      <c r="C638" s="4">
        <v>19</v>
      </c>
      <c r="D638" s="4">
        <v>2292828</v>
      </c>
      <c r="E638" s="5" t="s">
        <v>59</v>
      </c>
      <c r="F638" s="6">
        <v>15000</v>
      </c>
      <c r="G638" s="7">
        <v>0</v>
      </c>
      <c r="H638" s="7">
        <v>5490751</v>
      </c>
      <c r="J638" s="8" t="s">
        <v>48</v>
      </c>
      <c r="K638" s="8" t="str">
        <f>VLOOKUP(F638,'[2]Cartola 05-2026'!$J$2:$S$85,10,0)</f>
        <v>F.13672</v>
      </c>
    </row>
    <row r="639" spans="1:11" x14ac:dyDescent="0.3">
      <c r="A639" s="8">
        <v>637</v>
      </c>
      <c r="B639" s="4" t="s">
        <v>407</v>
      </c>
      <c r="C639" s="4">
        <v>19</v>
      </c>
      <c r="D639" s="4">
        <v>3862549</v>
      </c>
      <c r="E639" s="5" t="s">
        <v>14</v>
      </c>
      <c r="F639" s="6">
        <v>117730</v>
      </c>
      <c r="G639" s="7">
        <v>0</v>
      </c>
      <c r="H639" s="7">
        <v>5373021</v>
      </c>
      <c r="J639" s="8" t="s">
        <v>48</v>
      </c>
      <c r="K639" s="8" t="str">
        <f>VLOOKUP(F639,'[2]Cartola 05-2026'!$J$2:$S$85,10,0)</f>
        <v>F,28154</v>
      </c>
    </row>
    <row r="640" spans="1:11" x14ac:dyDescent="0.3">
      <c r="A640" s="8">
        <v>638</v>
      </c>
      <c r="B640" s="4" t="s">
        <v>409</v>
      </c>
      <c r="C640" s="4">
        <v>19</v>
      </c>
      <c r="D640" s="4">
        <v>1107806</v>
      </c>
      <c r="E640" s="5" t="s">
        <v>83</v>
      </c>
      <c r="F640" s="6">
        <v>42050</v>
      </c>
      <c r="G640" s="7">
        <v>0</v>
      </c>
      <c r="H640" s="7">
        <v>5330971</v>
      </c>
      <c r="J640" s="8" t="s">
        <v>48</v>
      </c>
      <c r="K640" s="8" t="str">
        <f>VLOOKUP(F640,'[2]Cartola 05-2026'!$J$2:$S$85,10,0)</f>
        <v>F,1334316</v>
      </c>
    </row>
    <row r="641" spans="1:11" x14ac:dyDescent="0.3">
      <c r="A641" s="8">
        <v>639</v>
      </c>
      <c r="B641" s="4" t="s">
        <v>409</v>
      </c>
      <c r="C641" s="4">
        <v>19</v>
      </c>
      <c r="D641" s="4">
        <v>3862549</v>
      </c>
      <c r="E641" s="5" t="s">
        <v>14</v>
      </c>
      <c r="F641" s="6">
        <v>800</v>
      </c>
      <c r="G641" s="7">
        <v>0</v>
      </c>
      <c r="H641" s="7">
        <v>5330171</v>
      </c>
      <c r="J641" s="8" t="s">
        <v>48</v>
      </c>
      <c r="K641" s="8">
        <f>VLOOKUP(F641,'[2]Cartola 05-2026'!$J$2:$S$85,10,0)</f>
        <v>0</v>
      </c>
    </row>
    <row r="642" spans="1:11" x14ac:dyDescent="0.3">
      <c r="A642" s="8">
        <v>640</v>
      </c>
      <c r="B642" s="4" t="s">
        <v>409</v>
      </c>
      <c r="C642" s="4">
        <v>19</v>
      </c>
      <c r="D642" s="4">
        <v>3862549</v>
      </c>
      <c r="E642" s="5" t="s">
        <v>14</v>
      </c>
      <c r="F642" s="6">
        <v>6920</v>
      </c>
      <c r="G642" s="7">
        <v>0</v>
      </c>
      <c r="H642" s="7">
        <v>5323251</v>
      </c>
      <c r="J642" s="8" t="s">
        <v>48</v>
      </c>
      <c r="K642" s="8" t="str">
        <f>VLOOKUP(F642,'[2]Cartola 05-2026'!$J$2:$S$85,10,0)</f>
        <v>F,28221</v>
      </c>
    </row>
    <row r="643" spans="1:11" x14ac:dyDescent="0.3">
      <c r="A643" s="8">
        <v>641</v>
      </c>
      <c r="B643" s="4" t="s">
        <v>409</v>
      </c>
      <c r="C643" s="4">
        <v>19</v>
      </c>
      <c r="D643" s="4">
        <v>7049810</v>
      </c>
      <c r="E643" s="5" t="s">
        <v>64</v>
      </c>
      <c r="F643" s="6">
        <v>710578</v>
      </c>
      <c r="G643" s="7">
        <v>0</v>
      </c>
      <c r="H643" s="7">
        <v>4612673</v>
      </c>
      <c r="J643" s="8" t="s">
        <v>65</v>
      </c>
      <c r="K643" s="8">
        <f>VLOOKUP(F643,'[2]Cartola 05-2026'!$J$2:$S$85,10,0)</f>
        <v>0</v>
      </c>
    </row>
    <row r="644" spans="1:11" x14ac:dyDescent="0.3">
      <c r="A644" s="8">
        <v>642</v>
      </c>
      <c r="B644" s="4" t="s">
        <v>409</v>
      </c>
      <c r="C644" s="4">
        <v>19</v>
      </c>
      <c r="D644" s="4">
        <v>7049809</v>
      </c>
      <c r="E644" s="5" t="s">
        <v>64</v>
      </c>
      <c r="F644" s="6">
        <v>1705351</v>
      </c>
      <c r="G644" s="7">
        <v>0</v>
      </c>
      <c r="H644" s="7">
        <v>2907322</v>
      </c>
      <c r="J644" s="8" t="s">
        <v>65</v>
      </c>
      <c r="K644" s="8">
        <f>VLOOKUP(F644,'[2]Cartola 05-2026'!$J$2:$S$85,10,0)</f>
        <v>0</v>
      </c>
    </row>
    <row r="645" spans="1:11" x14ac:dyDescent="0.3">
      <c r="A645" s="8">
        <v>643</v>
      </c>
      <c r="B645" s="4" t="s">
        <v>410</v>
      </c>
      <c r="C645" s="4">
        <v>19</v>
      </c>
      <c r="D645" s="4"/>
      <c r="E645" s="5" t="s">
        <v>411</v>
      </c>
      <c r="F645" s="6">
        <v>40000</v>
      </c>
      <c r="G645" s="7">
        <v>0</v>
      </c>
      <c r="H645" s="7">
        <v>2867322</v>
      </c>
      <c r="J645" s="8" t="s">
        <v>54</v>
      </c>
      <c r="K645" s="8">
        <f>VLOOKUP(F645,'[2]Cartola 05-2026'!$J$2:$S$85,10,0)</f>
        <v>0</v>
      </c>
    </row>
    <row r="646" spans="1:11" x14ac:dyDescent="0.3">
      <c r="A646" s="8">
        <v>644</v>
      </c>
      <c r="B646" s="4" t="s">
        <v>410</v>
      </c>
      <c r="C646" s="4">
        <v>19</v>
      </c>
      <c r="D646" s="4">
        <v>1188799</v>
      </c>
      <c r="E646" s="5" t="s">
        <v>67</v>
      </c>
      <c r="F646" s="6">
        <v>16250</v>
      </c>
      <c r="G646" s="7">
        <v>0</v>
      </c>
      <c r="H646" s="7">
        <v>2851072</v>
      </c>
      <c r="J646" s="8" t="s">
        <v>68</v>
      </c>
      <c r="K646" s="8" t="str">
        <f>VLOOKUP(F646,'[2]Cartola 05-2026'!$J$2:$S$85,10,0)</f>
        <v>F,17078</v>
      </c>
    </row>
    <row r="647" spans="1:11" x14ac:dyDescent="0.3">
      <c r="A647" s="8">
        <v>645</v>
      </c>
      <c r="B647" s="4" t="s">
        <v>410</v>
      </c>
      <c r="C647" s="4">
        <v>19</v>
      </c>
      <c r="D647" s="4"/>
      <c r="E647" s="5" t="s">
        <v>412</v>
      </c>
      <c r="F647" s="6">
        <v>20000</v>
      </c>
      <c r="G647" s="7">
        <v>0</v>
      </c>
      <c r="H647" s="7">
        <v>2831072</v>
      </c>
      <c r="J647" s="8" t="s">
        <v>54</v>
      </c>
      <c r="K647" s="8">
        <f>VLOOKUP(F647,'[2]Cartola 05-2026'!$J$2:$S$85,10,0)</f>
        <v>0</v>
      </c>
    </row>
    <row r="648" spans="1:11" x14ac:dyDescent="0.3">
      <c r="A648" s="8">
        <v>646</v>
      </c>
      <c r="B648" s="4" t="s">
        <v>410</v>
      </c>
      <c r="C648" s="4">
        <v>19</v>
      </c>
      <c r="D648" s="4">
        <v>1107806</v>
      </c>
      <c r="E648" s="5" t="s">
        <v>83</v>
      </c>
      <c r="F648" s="6">
        <v>8390</v>
      </c>
      <c r="G648" s="7">
        <v>0</v>
      </c>
      <c r="H648" s="7">
        <v>2822682</v>
      </c>
      <c r="J648" s="8" t="s">
        <v>48</v>
      </c>
      <c r="K648" s="8">
        <f>VLOOKUP(F648,'[2]Cartola 05-2026'!$J$2:$S$85,10,0)</f>
        <v>0</v>
      </c>
    </row>
    <row r="649" spans="1:11" x14ac:dyDescent="0.3">
      <c r="A649" s="8">
        <v>647</v>
      </c>
      <c r="B649" s="4" t="s">
        <v>413</v>
      </c>
      <c r="C649" s="4">
        <v>19</v>
      </c>
      <c r="D649" s="4">
        <v>4329035</v>
      </c>
      <c r="E649" s="5" t="s">
        <v>371</v>
      </c>
      <c r="F649" s="6">
        <v>65000</v>
      </c>
      <c r="G649" s="7">
        <v>0</v>
      </c>
      <c r="H649" s="7">
        <v>2757682</v>
      </c>
      <c r="J649" s="8" t="s">
        <v>37</v>
      </c>
      <c r="K649" s="8" t="str">
        <f>VLOOKUP(F649,'[2]Cartola 05-2026'!$J$2:$S$85,10,0)</f>
        <v>F.163105</v>
      </c>
    </row>
    <row r="650" spans="1:11" x14ac:dyDescent="0.3">
      <c r="A650" s="8">
        <v>649</v>
      </c>
      <c r="B650" s="4" t="s">
        <v>414</v>
      </c>
      <c r="C650" s="4">
        <v>19</v>
      </c>
      <c r="D650" s="4">
        <v>4519061</v>
      </c>
      <c r="E650" s="5" t="s">
        <v>50</v>
      </c>
      <c r="F650" s="6">
        <v>480</v>
      </c>
      <c r="G650" s="7">
        <v>0</v>
      </c>
      <c r="H650" s="7">
        <v>2657339</v>
      </c>
      <c r="J650" s="8" t="s">
        <v>48</v>
      </c>
      <c r="K650" s="8" t="e">
        <f>VLOOKUP(F650,'[2]Cartola 05-2026'!$J$2:$S$85,10,0)</f>
        <v>#N/A</v>
      </c>
    </row>
    <row r="651" spans="1:11" x14ac:dyDescent="0.3">
      <c r="A651" s="8">
        <v>650</v>
      </c>
      <c r="B651" s="4" t="s">
        <v>414</v>
      </c>
      <c r="C651" s="4">
        <v>19</v>
      </c>
      <c r="D651" s="4">
        <v>4517720</v>
      </c>
      <c r="E651" s="5" t="s">
        <v>50</v>
      </c>
      <c r="F651" s="6">
        <v>1214</v>
      </c>
      <c r="G651" s="7">
        <v>0</v>
      </c>
      <c r="H651" s="7">
        <v>2656125</v>
      </c>
      <c r="J651" s="8" t="s">
        <v>48</v>
      </c>
      <c r="K651" s="8" t="e">
        <f>VLOOKUP(F651,'[2]Cartola 05-2026'!$J$2:$S$85,10,0)</f>
        <v>#N/A</v>
      </c>
    </row>
    <row r="652" spans="1:11" x14ac:dyDescent="0.3">
      <c r="A652" s="8">
        <v>648</v>
      </c>
      <c r="B652" s="4" t="s">
        <v>413</v>
      </c>
      <c r="C652" s="4">
        <v>19</v>
      </c>
      <c r="D652" s="4">
        <v>7021883</v>
      </c>
      <c r="E652" s="5" t="s">
        <v>19</v>
      </c>
      <c r="F652" s="6">
        <v>99863</v>
      </c>
      <c r="G652" s="7">
        <v>0</v>
      </c>
      <c r="H652" s="7">
        <v>2657819</v>
      </c>
      <c r="J652" s="8" t="s">
        <v>48</v>
      </c>
      <c r="K652" s="8" t="str">
        <f>VLOOKUP(F652,'[2]Cartola 05-2026'!$J$2:$S$85,10,0)</f>
        <v>F-171830</v>
      </c>
    </row>
    <row r="653" spans="1:11" x14ac:dyDescent="0.3">
      <c r="A653" s="8">
        <v>652</v>
      </c>
      <c r="B653" s="4" t="s">
        <v>415</v>
      </c>
      <c r="C653" s="4">
        <v>19</v>
      </c>
      <c r="D653" s="4">
        <v>4430861</v>
      </c>
      <c r="E653" s="5" t="s">
        <v>50</v>
      </c>
      <c r="F653" s="6">
        <v>1400</v>
      </c>
      <c r="G653" s="7">
        <v>0</v>
      </c>
      <c r="H653" s="7">
        <v>9654725</v>
      </c>
      <c r="J653" s="8" t="s">
        <v>48</v>
      </c>
      <c r="K653" s="8" t="e">
        <f>VLOOKUP(F653,'[2]Cartola 05-2026'!$J$2:$S$85,10,0)</f>
        <v>#N/A</v>
      </c>
    </row>
    <row r="654" spans="1:11" x14ac:dyDescent="0.3">
      <c r="A654" s="8">
        <v>651</v>
      </c>
      <c r="B654" s="4" t="s">
        <v>415</v>
      </c>
      <c r="C654" s="4">
        <v>19</v>
      </c>
      <c r="D654" s="4">
        <v>1077</v>
      </c>
      <c r="E654" s="5" t="s">
        <v>12</v>
      </c>
      <c r="F654" s="6">
        <v>0</v>
      </c>
      <c r="G654" s="7">
        <v>7000000</v>
      </c>
      <c r="H654" s="7">
        <v>9656125</v>
      </c>
      <c r="J654" s="8" t="s">
        <v>13</v>
      </c>
      <c r="K654" s="8">
        <f>VLOOKUP(F654,'[2]Cartola 05-2026'!$J$2:$S$85,10,0)</f>
        <v>0</v>
      </c>
    </row>
    <row r="655" spans="1:11" x14ac:dyDescent="0.3">
      <c r="A655" s="8">
        <v>653</v>
      </c>
      <c r="B655" s="4" t="s">
        <v>415</v>
      </c>
      <c r="C655" s="4">
        <v>19</v>
      </c>
      <c r="D655" s="4">
        <v>7093918</v>
      </c>
      <c r="E655" s="5" t="s">
        <v>416</v>
      </c>
      <c r="F655" s="6">
        <v>1000000</v>
      </c>
      <c r="G655" s="7">
        <v>0</v>
      </c>
      <c r="H655" s="7">
        <v>8654725</v>
      </c>
      <c r="J655" s="8" t="s">
        <v>48</v>
      </c>
      <c r="K655" s="8" t="str">
        <f>VLOOKUP(F655,'[2]Cartola 05-2026'!$J$2:$S$85,10,0)</f>
        <v>PR-150</v>
      </c>
    </row>
    <row r="656" spans="1:11" x14ac:dyDescent="0.3">
      <c r="A656" s="8">
        <v>654</v>
      </c>
      <c r="B656" s="4" t="s">
        <v>415</v>
      </c>
      <c r="C656" s="4">
        <v>19</v>
      </c>
      <c r="D656" s="4">
        <v>7092131</v>
      </c>
      <c r="E656" s="5" t="s">
        <v>417</v>
      </c>
      <c r="F656" s="6">
        <v>1000000</v>
      </c>
      <c r="G656" s="7">
        <v>0</v>
      </c>
      <c r="H656" s="7">
        <v>7654725</v>
      </c>
      <c r="J656" s="8" t="s">
        <v>48</v>
      </c>
      <c r="K656" s="8" t="str">
        <f>VLOOKUP(F656,'[2]Cartola 05-2026'!$J$2:$S$85,10,0)</f>
        <v>PR-150</v>
      </c>
    </row>
    <row r="657" spans="1:11" x14ac:dyDescent="0.3">
      <c r="A657" s="8">
        <v>655</v>
      </c>
      <c r="B657" s="4" t="s">
        <v>415</v>
      </c>
      <c r="C657" s="4">
        <v>19</v>
      </c>
      <c r="D657" s="4">
        <v>1077</v>
      </c>
      <c r="E657" s="5" t="s">
        <v>12</v>
      </c>
      <c r="F657" s="6">
        <v>0</v>
      </c>
      <c r="G657" s="7">
        <v>7000000</v>
      </c>
      <c r="H657" s="7">
        <v>14654725</v>
      </c>
      <c r="J657" s="8" t="s">
        <v>13</v>
      </c>
      <c r="K657" s="8">
        <f>VLOOKUP(F657,'[2]Cartola 05-2026'!$J$2:$S$85,10,0)</f>
        <v>0</v>
      </c>
    </row>
    <row r="658" spans="1:11" x14ac:dyDescent="0.3">
      <c r="A658" s="8">
        <v>657</v>
      </c>
      <c r="B658" s="4" t="s">
        <v>415</v>
      </c>
      <c r="C658" s="4">
        <v>19</v>
      </c>
      <c r="D658" s="4">
        <v>1121946</v>
      </c>
      <c r="E658" s="5" t="s">
        <v>63</v>
      </c>
      <c r="F658" s="6">
        <v>3470</v>
      </c>
      <c r="G658" s="7">
        <v>0</v>
      </c>
      <c r="H658" s="7">
        <v>14611255</v>
      </c>
      <c r="J658" s="8" t="s">
        <v>48</v>
      </c>
      <c r="K658" s="8" t="e">
        <f>VLOOKUP(F658,'[2]Cartola 05-2026'!$J$2:$S$85,10,0)</f>
        <v>#N/A</v>
      </c>
    </row>
    <row r="659" spans="1:11" x14ac:dyDescent="0.3">
      <c r="A659" s="8">
        <v>658</v>
      </c>
      <c r="B659" s="4" t="s">
        <v>415</v>
      </c>
      <c r="C659" s="4">
        <v>19</v>
      </c>
      <c r="D659" s="4">
        <v>4053308</v>
      </c>
      <c r="E659" s="5" t="s">
        <v>49</v>
      </c>
      <c r="F659" s="6">
        <v>123970</v>
      </c>
      <c r="G659" s="7">
        <v>0</v>
      </c>
      <c r="H659" s="7">
        <v>14487285</v>
      </c>
      <c r="J659" s="8" t="s">
        <v>48</v>
      </c>
      <c r="K659" s="8" t="e">
        <f>VLOOKUP(F659,'[2]Cartola 05-2026'!$J$2:$S$85,10,0)</f>
        <v>#N/A</v>
      </c>
    </row>
    <row r="660" spans="1:11" x14ac:dyDescent="0.3">
      <c r="A660" s="8">
        <v>656</v>
      </c>
      <c r="B660" s="4" t="s">
        <v>415</v>
      </c>
      <c r="C660" s="4">
        <v>19</v>
      </c>
      <c r="D660" s="4"/>
      <c r="E660" s="5" t="s">
        <v>418</v>
      </c>
      <c r="F660" s="6">
        <v>40000</v>
      </c>
      <c r="G660" s="7">
        <v>0</v>
      </c>
      <c r="H660" s="7">
        <v>14614725</v>
      </c>
      <c r="J660" s="8" t="s">
        <v>54</v>
      </c>
      <c r="K660" s="8">
        <f>VLOOKUP(F660,'[2]Cartola 05-2026'!$J$2:$S$85,10,0)</f>
        <v>0</v>
      </c>
    </row>
    <row r="661" spans="1:11" x14ac:dyDescent="0.3">
      <c r="A661" s="8">
        <v>659</v>
      </c>
      <c r="B661" s="4" t="s">
        <v>415</v>
      </c>
      <c r="C661" s="4">
        <v>19</v>
      </c>
      <c r="D661" s="4">
        <v>7016346</v>
      </c>
      <c r="E661" s="5" t="s">
        <v>417</v>
      </c>
      <c r="F661" s="6">
        <v>3118800</v>
      </c>
      <c r="G661" s="7">
        <v>0</v>
      </c>
      <c r="H661" s="7">
        <v>11368485</v>
      </c>
      <c r="J661" s="8" t="s">
        <v>48</v>
      </c>
      <c r="K661" s="8" t="s">
        <v>487</v>
      </c>
    </row>
    <row r="662" spans="1:11" x14ac:dyDescent="0.3">
      <c r="A662" s="8">
        <v>660</v>
      </c>
      <c r="B662" s="4" t="s">
        <v>415</v>
      </c>
      <c r="C662" s="4">
        <v>20</v>
      </c>
      <c r="D662" s="4">
        <v>7016347</v>
      </c>
      <c r="E662" s="5" t="s">
        <v>416</v>
      </c>
      <c r="F662" s="6">
        <v>1382605</v>
      </c>
      <c r="G662" s="7">
        <v>0</v>
      </c>
      <c r="H662" s="7">
        <v>9985880</v>
      </c>
      <c r="J662" s="8" t="s">
        <v>48</v>
      </c>
      <c r="K662" s="8" t="s">
        <v>486</v>
      </c>
    </row>
    <row r="663" spans="1:11" x14ac:dyDescent="0.3">
      <c r="A663" s="8">
        <v>661</v>
      </c>
      <c r="B663" s="4" t="s">
        <v>415</v>
      </c>
      <c r="C663" s="4">
        <v>20</v>
      </c>
      <c r="D663" s="4">
        <v>7016348</v>
      </c>
      <c r="E663" s="5" t="s">
        <v>417</v>
      </c>
      <c r="F663" s="6">
        <v>5000000</v>
      </c>
      <c r="G663" s="7">
        <v>0</v>
      </c>
      <c r="H663" s="7">
        <v>4985880</v>
      </c>
      <c r="J663" s="8" t="s">
        <v>48</v>
      </c>
      <c r="K663" s="8" t="s">
        <v>489</v>
      </c>
    </row>
    <row r="664" spans="1:11" x14ac:dyDescent="0.3">
      <c r="A664" s="8">
        <v>662</v>
      </c>
      <c r="B664" s="4" t="s">
        <v>415</v>
      </c>
      <c r="C664" s="4">
        <v>20</v>
      </c>
      <c r="D664" s="4">
        <v>7019470</v>
      </c>
      <c r="E664" s="5" t="s">
        <v>419</v>
      </c>
      <c r="F664" s="6">
        <v>1000000</v>
      </c>
      <c r="G664" s="7">
        <v>0</v>
      </c>
      <c r="H664" s="7">
        <v>3985880</v>
      </c>
      <c r="J664" s="8" t="s">
        <v>48</v>
      </c>
      <c r="K664" s="8" t="s">
        <v>488</v>
      </c>
    </row>
    <row r="665" spans="1:11" x14ac:dyDescent="0.3">
      <c r="A665" s="8">
        <v>663</v>
      </c>
      <c r="B665" s="4" t="s">
        <v>420</v>
      </c>
      <c r="C665" s="4">
        <v>20</v>
      </c>
      <c r="D665" s="4">
        <v>1077</v>
      </c>
      <c r="E665" s="5" t="s">
        <v>421</v>
      </c>
      <c r="F665" s="6">
        <v>0</v>
      </c>
      <c r="G665" s="7">
        <v>45220</v>
      </c>
      <c r="H665" s="7">
        <v>4031100</v>
      </c>
      <c r="J665" s="9" t="s">
        <v>290</v>
      </c>
      <c r="K665" s="8">
        <f>VLOOKUP(F665,'[2]Cartola 05-2026'!$J$2:$S$85,10,0)</f>
        <v>0</v>
      </c>
    </row>
    <row r="666" spans="1:11" x14ac:dyDescent="0.3">
      <c r="A666" s="8">
        <v>665</v>
      </c>
      <c r="B666" s="4" t="s">
        <v>420</v>
      </c>
      <c r="C666" s="4">
        <v>20</v>
      </c>
      <c r="D666" s="4">
        <v>1086273</v>
      </c>
      <c r="E666" s="5" t="s">
        <v>126</v>
      </c>
      <c r="F666" s="6">
        <v>38180</v>
      </c>
      <c r="G666" s="7">
        <v>0</v>
      </c>
      <c r="H666" s="7">
        <v>3952920</v>
      </c>
      <c r="J666" s="8" t="s">
        <v>48</v>
      </c>
      <c r="K666" s="8" t="e">
        <f>VLOOKUP(F666,'[2]Cartola 05-2026'!$J$2:$S$85,10,0)</f>
        <v>#N/A</v>
      </c>
    </row>
    <row r="667" spans="1:11" x14ac:dyDescent="0.3">
      <c r="A667" s="8">
        <v>664</v>
      </c>
      <c r="B667" s="4" t="s">
        <v>420</v>
      </c>
      <c r="C667" s="4">
        <v>20</v>
      </c>
      <c r="D667" s="4"/>
      <c r="E667" s="5" t="s">
        <v>422</v>
      </c>
      <c r="F667" s="6">
        <v>40000</v>
      </c>
      <c r="G667" s="7">
        <v>0</v>
      </c>
      <c r="H667" s="7">
        <v>3991100</v>
      </c>
      <c r="J667" s="8" t="s">
        <v>54</v>
      </c>
      <c r="K667" s="8">
        <f>VLOOKUP(F667,'[2]Cartola 05-2026'!$J$2:$S$85,10,0)</f>
        <v>0</v>
      </c>
    </row>
    <row r="668" spans="1:11" x14ac:dyDescent="0.3">
      <c r="A668" s="8">
        <v>667</v>
      </c>
      <c r="B668" s="4" t="s">
        <v>420</v>
      </c>
      <c r="C668" s="4">
        <v>20</v>
      </c>
      <c r="D668" s="4">
        <v>1458</v>
      </c>
      <c r="E668" s="5" t="s">
        <v>26</v>
      </c>
      <c r="F668" s="6">
        <v>13537</v>
      </c>
      <c r="G668" s="7">
        <v>0</v>
      </c>
      <c r="H668" s="7">
        <v>3874383</v>
      </c>
      <c r="J668" s="8" t="s">
        <v>27</v>
      </c>
      <c r="K668" s="8" t="e">
        <f>VLOOKUP(F668,'[2]Cartola 05-2026'!$J$2:$S$85,10,0)</f>
        <v>#N/A</v>
      </c>
    </row>
    <row r="669" spans="1:11" x14ac:dyDescent="0.3">
      <c r="A669" s="8">
        <v>666</v>
      </c>
      <c r="B669" s="4" t="s">
        <v>420</v>
      </c>
      <c r="C669" s="4">
        <v>20</v>
      </c>
      <c r="D669" s="4">
        <v>4329035</v>
      </c>
      <c r="E669" s="5" t="s">
        <v>371</v>
      </c>
      <c r="F669" s="6">
        <v>65000</v>
      </c>
      <c r="G669" s="7">
        <v>0</v>
      </c>
      <c r="H669" s="7">
        <v>3887920</v>
      </c>
      <c r="J669" s="8" t="s">
        <v>37</v>
      </c>
      <c r="K669" s="8" t="str">
        <f>VLOOKUP(F669,'[2]Cartola 05-2026'!$J$2:$S$85,10,0)</f>
        <v>F.163105</v>
      </c>
    </row>
    <row r="670" spans="1:11" x14ac:dyDescent="0.3">
      <c r="A670" s="8">
        <v>668</v>
      </c>
      <c r="B670" s="4" t="s">
        <v>423</v>
      </c>
      <c r="C670" s="4">
        <v>20</v>
      </c>
      <c r="D670" s="4">
        <v>1077</v>
      </c>
      <c r="E670" s="5" t="s">
        <v>12</v>
      </c>
      <c r="F670" s="6">
        <v>0</v>
      </c>
      <c r="G670" s="7">
        <v>7000000</v>
      </c>
      <c r="H670" s="7">
        <v>10874383</v>
      </c>
      <c r="J670" s="8" t="s">
        <v>13</v>
      </c>
      <c r="K670" s="8">
        <f>VLOOKUP(F670,'[2]Cartola 05-2026'!$J$2:$S$85,10,0)</f>
        <v>0</v>
      </c>
    </row>
    <row r="671" spans="1:11" x14ac:dyDescent="0.3">
      <c r="A671" s="8">
        <v>670</v>
      </c>
      <c r="B671" s="4" t="s">
        <v>423</v>
      </c>
      <c r="C671" s="4">
        <v>20</v>
      </c>
      <c r="D671" s="4">
        <v>7044782</v>
      </c>
      <c r="E671" s="5" t="s">
        <v>23</v>
      </c>
      <c r="F671" s="6">
        <v>125368</v>
      </c>
      <c r="G671" s="7">
        <v>0</v>
      </c>
      <c r="H671" s="7">
        <v>10684015</v>
      </c>
      <c r="J671" s="8" t="s">
        <v>24</v>
      </c>
      <c r="K671" s="8" t="e">
        <f>VLOOKUP(F671,'[2]Cartola 05-2026'!$J$2:$S$85,10,0)</f>
        <v>#N/A</v>
      </c>
    </row>
    <row r="672" spans="1:11" x14ac:dyDescent="0.3">
      <c r="A672" s="8">
        <v>671</v>
      </c>
      <c r="B672" s="4" t="s">
        <v>423</v>
      </c>
      <c r="C672" s="4">
        <v>20</v>
      </c>
      <c r="D672" s="4">
        <v>7044783</v>
      </c>
      <c r="E672" s="5" t="s">
        <v>23</v>
      </c>
      <c r="F672" s="6">
        <v>96695</v>
      </c>
      <c r="G672" s="7">
        <v>0</v>
      </c>
      <c r="H672" s="7">
        <v>10587320</v>
      </c>
      <c r="J672" s="8" t="s">
        <v>24</v>
      </c>
      <c r="K672" s="8" t="e">
        <f>VLOOKUP(F672,'[2]Cartola 05-2026'!$J$2:$S$85,10,0)</f>
        <v>#N/A</v>
      </c>
    </row>
    <row r="673" spans="1:11" x14ac:dyDescent="0.3">
      <c r="A673" s="8">
        <v>672</v>
      </c>
      <c r="B673" s="4" t="s">
        <v>423</v>
      </c>
      <c r="C673" s="4">
        <v>20</v>
      </c>
      <c r="D673" s="4">
        <v>7043939</v>
      </c>
      <c r="E673" s="5" t="s">
        <v>419</v>
      </c>
      <c r="F673" s="6">
        <v>4401907</v>
      </c>
      <c r="G673" s="7">
        <v>0</v>
      </c>
      <c r="H673" s="7">
        <v>6185413</v>
      </c>
      <c r="J673" s="8" t="s">
        <v>48</v>
      </c>
      <c r="K673" s="8" t="e">
        <f>VLOOKUP(F673,'[2]Cartola 05-2026'!$J$2:$S$85,10,0)</f>
        <v>#N/A</v>
      </c>
    </row>
    <row r="674" spans="1:11" x14ac:dyDescent="0.3">
      <c r="A674" s="8">
        <v>673</v>
      </c>
      <c r="B674" s="4" t="s">
        <v>424</v>
      </c>
      <c r="C674" s="4">
        <v>20</v>
      </c>
      <c r="D674" s="4">
        <v>3631604</v>
      </c>
      <c r="E674" s="5" t="s">
        <v>113</v>
      </c>
      <c r="F674" s="6">
        <v>650</v>
      </c>
      <c r="G674" s="7">
        <v>0</v>
      </c>
      <c r="H674" s="7">
        <v>6184763</v>
      </c>
      <c r="J674" s="8" t="s">
        <v>48</v>
      </c>
      <c r="K674" s="8" t="e">
        <f>VLOOKUP(F674,'[2]Cartola 05-2026'!$J$2:$S$85,10,0)</f>
        <v>#N/A</v>
      </c>
    </row>
    <row r="675" spans="1:11" x14ac:dyDescent="0.3">
      <c r="A675" s="8">
        <v>674</v>
      </c>
      <c r="B675" s="4" t="s">
        <v>424</v>
      </c>
      <c r="C675" s="4">
        <v>20</v>
      </c>
      <c r="D675" s="4">
        <v>1085159</v>
      </c>
      <c r="E675" s="5" t="s">
        <v>425</v>
      </c>
      <c r="F675" s="6">
        <v>20970</v>
      </c>
      <c r="G675" s="7">
        <v>0</v>
      </c>
      <c r="H675" s="7">
        <v>6163793</v>
      </c>
      <c r="J675" s="8" t="s">
        <v>48</v>
      </c>
      <c r="K675" s="8" t="e">
        <f>VLOOKUP(F675,'[2]Cartola 05-2026'!$J$2:$S$85,10,0)</f>
        <v>#N/A</v>
      </c>
    </row>
    <row r="676" spans="1:11" x14ac:dyDescent="0.3">
      <c r="A676" s="8">
        <v>669</v>
      </c>
      <c r="B676" s="4" t="s">
        <v>423</v>
      </c>
      <c r="C676" s="4">
        <v>20</v>
      </c>
      <c r="D676" s="4">
        <v>4329035</v>
      </c>
      <c r="E676" s="5" t="s">
        <v>371</v>
      </c>
      <c r="F676" s="6">
        <v>65000</v>
      </c>
      <c r="G676" s="7">
        <v>0</v>
      </c>
      <c r="H676" s="7">
        <v>10809383</v>
      </c>
      <c r="J676" s="8" t="s">
        <v>37</v>
      </c>
      <c r="K676" s="8" t="str">
        <f>VLOOKUP(F676,'[2]Cartola 05-2026'!$J$2:$S$85,10,0)</f>
        <v>F.163105</v>
      </c>
    </row>
    <row r="677" spans="1:11" x14ac:dyDescent="0.3">
      <c r="A677" s="8">
        <v>676</v>
      </c>
      <c r="B677" s="4" t="s">
        <v>424</v>
      </c>
      <c r="C677" s="4">
        <v>20</v>
      </c>
      <c r="D677" s="4">
        <v>1461412</v>
      </c>
      <c r="E677" s="5" t="s">
        <v>426</v>
      </c>
      <c r="F677" s="6">
        <v>19990</v>
      </c>
      <c r="G677" s="7">
        <v>0</v>
      </c>
      <c r="H677" s="7">
        <v>6083803</v>
      </c>
      <c r="J677" s="8" t="s">
        <v>48</v>
      </c>
      <c r="K677" s="8" t="e">
        <f>VLOOKUP(F677,'[2]Cartola 05-2026'!$J$2:$S$85,10,0)</f>
        <v>#N/A</v>
      </c>
    </row>
    <row r="678" spans="1:11" x14ac:dyDescent="0.3">
      <c r="A678" s="8">
        <v>677</v>
      </c>
      <c r="B678" s="4" t="s">
        <v>424</v>
      </c>
      <c r="C678" s="4">
        <v>20</v>
      </c>
      <c r="D678" s="4">
        <v>7039117</v>
      </c>
      <c r="E678" s="5" t="s">
        <v>164</v>
      </c>
      <c r="F678" s="6">
        <v>101093</v>
      </c>
      <c r="G678" s="7">
        <v>0</v>
      </c>
      <c r="H678" s="7">
        <v>5982710</v>
      </c>
      <c r="J678" s="8" t="s">
        <v>48</v>
      </c>
      <c r="K678" s="8" t="e">
        <f>VLOOKUP(F678,'[2]Cartola 05-2026'!$J$2:$S$85,10,0)</f>
        <v>#N/A</v>
      </c>
    </row>
    <row r="679" spans="1:11" x14ac:dyDescent="0.3">
      <c r="A679" s="8">
        <v>678</v>
      </c>
      <c r="B679" s="4" t="s">
        <v>424</v>
      </c>
      <c r="C679" s="4">
        <v>20</v>
      </c>
      <c r="D679" s="4">
        <v>7039123</v>
      </c>
      <c r="E679" s="5" t="s">
        <v>427</v>
      </c>
      <c r="F679" s="6">
        <v>283188</v>
      </c>
      <c r="G679" s="7">
        <v>0</v>
      </c>
      <c r="H679" s="7">
        <v>5699522</v>
      </c>
      <c r="J679" s="8" t="s">
        <v>48</v>
      </c>
      <c r="K679" s="8" t="e">
        <f>VLOOKUP(F679,'[2]Cartola 05-2026'!$J$2:$S$85,10,0)</f>
        <v>#N/A</v>
      </c>
    </row>
    <row r="680" spans="1:11" x14ac:dyDescent="0.3">
      <c r="A680" s="8">
        <v>679</v>
      </c>
      <c r="B680" s="4" t="s">
        <v>424</v>
      </c>
      <c r="C680" s="4">
        <v>20</v>
      </c>
      <c r="D680" s="4">
        <v>7039121</v>
      </c>
      <c r="E680" s="5" t="s">
        <v>428</v>
      </c>
      <c r="F680" s="6">
        <v>561887</v>
      </c>
      <c r="G680" s="7">
        <v>0</v>
      </c>
      <c r="H680" s="7">
        <v>5137635</v>
      </c>
      <c r="J680" s="8" t="s">
        <v>48</v>
      </c>
      <c r="K680" s="8" t="e">
        <f>VLOOKUP(F680,'[2]Cartola 05-2026'!$J$2:$S$85,10,0)</f>
        <v>#N/A</v>
      </c>
    </row>
    <row r="681" spans="1:11" x14ac:dyDescent="0.3">
      <c r="A681" s="8">
        <v>680</v>
      </c>
      <c r="B681" s="4" t="s">
        <v>424</v>
      </c>
      <c r="C681" s="4">
        <v>20</v>
      </c>
      <c r="D681" s="4">
        <v>7039122</v>
      </c>
      <c r="E681" s="5" t="s">
        <v>198</v>
      </c>
      <c r="F681" s="6">
        <v>298437</v>
      </c>
      <c r="G681" s="7">
        <v>0</v>
      </c>
      <c r="H681" s="7">
        <v>4839198</v>
      </c>
      <c r="J681" s="8" t="s">
        <v>48</v>
      </c>
      <c r="K681" s="8" t="e">
        <f>VLOOKUP(F681,'[2]Cartola 05-2026'!$J$2:$S$85,10,0)</f>
        <v>#N/A</v>
      </c>
    </row>
    <row r="682" spans="1:11" x14ac:dyDescent="0.3">
      <c r="A682" s="8">
        <v>681</v>
      </c>
      <c r="B682" s="4" t="s">
        <v>424</v>
      </c>
      <c r="C682" s="4">
        <v>20</v>
      </c>
      <c r="D682" s="4">
        <v>7039124</v>
      </c>
      <c r="E682" s="5" t="s">
        <v>429</v>
      </c>
      <c r="F682" s="6">
        <v>239436</v>
      </c>
      <c r="G682" s="7">
        <v>0</v>
      </c>
      <c r="H682" s="7">
        <v>4599762</v>
      </c>
      <c r="J682" s="8" t="s">
        <v>48</v>
      </c>
      <c r="K682" s="8" t="e">
        <f>VLOOKUP(F682,'[2]Cartola 05-2026'!$J$2:$S$85,10,0)</f>
        <v>#N/A</v>
      </c>
    </row>
    <row r="683" spans="1:11" x14ac:dyDescent="0.3">
      <c r="A683" s="8">
        <v>682</v>
      </c>
      <c r="B683" s="4" t="s">
        <v>424</v>
      </c>
      <c r="C683" s="4">
        <v>20</v>
      </c>
      <c r="D683" s="4">
        <v>7039125</v>
      </c>
      <c r="E683" s="5" t="s">
        <v>430</v>
      </c>
      <c r="F683" s="6">
        <v>84240</v>
      </c>
      <c r="G683" s="7">
        <v>0</v>
      </c>
      <c r="H683" s="7">
        <v>4515522</v>
      </c>
      <c r="J683" s="8" t="s">
        <v>48</v>
      </c>
      <c r="K683" s="8" t="e">
        <f>VLOOKUP(F683,'[2]Cartola 05-2026'!$J$2:$S$85,10,0)</f>
        <v>#N/A</v>
      </c>
    </row>
    <row r="684" spans="1:11" x14ac:dyDescent="0.3">
      <c r="A684" s="8">
        <v>683</v>
      </c>
      <c r="B684" s="4" t="s">
        <v>424</v>
      </c>
      <c r="C684" s="4">
        <v>20</v>
      </c>
      <c r="D684" s="4">
        <v>7043150</v>
      </c>
      <c r="E684" s="5" t="s">
        <v>431</v>
      </c>
      <c r="F684" s="6">
        <v>21990</v>
      </c>
      <c r="G684" s="7">
        <v>0</v>
      </c>
      <c r="H684" s="7">
        <v>4493532</v>
      </c>
      <c r="J684" s="8" t="s">
        <v>48</v>
      </c>
      <c r="K684" s="8" t="e">
        <f>VLOOKUP(F684,'[2]Cartola 05-2026'!$J$2:$S$85,10,0)</f>
        <v>#N/A</v>
      </c>
    </row>
    <row r="685" spans="1:11" x14ac:dyDescent="0.3">
      <c r="A685" s="8">
        <v>684</v>
      </c>
      <c r="B685" s="4" t="s">
        <v>424</v>
      </c>
      <c r="C685" s="4">
        <v>20</v>
      </c>
      <c r="D685" s="4">
        <v>7039118</v>
      </c>
      <c r="E685" s="5" t="s">
        <v>40</v>
      </c>
      <c r="F685" s="6">
        <v>198864</v>
      </c>
      <c r="G685" s="7">
        <v>0</v>
      </c>
      <c r="H685" s="7">
        <v>4294668</v>
      </c>
      <c r="J685" s="8" t="s">
        <v>48</v>
      </c>
      <c r="K685" s="8" t="e">
        <f>VLOOKUP(F685,'[2]Cartola 05-2026'!$J$2:$S$85,10,0)</f>
        <v>#N/A</v>
      </c>
    </row>
    <row r="686" spans="1:11" x14ac:dyDescent="0.3">
      <c r="A686" s="8">
        <v>685</v>
      </c>
      <c r="B686" s="4" t="s">
        <v>424</v>
      </c>
      <c r="C686" s="4">
        <v>20</v>
      </c>
      <c r="D686" s="4">
        <v>7039120</v>
      </c>
      <c r="E686" s="5" t="s">
        <v>103</v>
      </c>
      <c r="F686" s="6">
        <v>28560</v>
      </c>
      <c r="G686" s="7">
        <v>0</v>
      </c>
      <c r="H686" s="7">
        <v>4266108</v>
      </c>
      <c r="J686" s="8" t="s">
        <v>48</v>
      </c>
      <c r="K686" s="8" t="e">
        <f>VLOOKUP(F686,'[2]Cartola 05-2026'!$J$2:$S$85,10,0)</f>
        <v>#N/A</v>
      </c>
    </row>
    <row r="687" spans="1:11" x14ac:dyDescent="0.3">
      <c r="A687" s="8">
        <v>686</v>
      </c>
      <c r="B687" s="4" t="s">
        <v>424</v>
      </c>
      <c r="C687" s="4">
        <v>20</v>
      </c>
      <c r="D687" s="4">
        <v>7045216</v>
      </c>
      <c r="E687" s="5" t="s">
        <v>432</v>
      </c>
      <c r="F687" s="6">
        <v>392281</v>
      </c>
      <c r="G687" s="7">
        <v>0</v>
      </c>
      <c r="H687" s="7">
        <v>3873827</v>
      </c>
      <c r="J687" s="8" t="s">
        <v>48</v>
      </c>
      <c r="K687" s="8" t="e">
        <f>VLOOKUP(F687,'[2]Cartola 05-2026'!$J$2:$S$85,10,0)</f>
        <v>#N/A</v>
      </c>
    </row>
    <row r="688" spans="1:11" x14ac:dyDescent="0.3">
      <c r="A688" s="8">
        <v>687</v>
      </c>
      <c r="B688" s="4" t="s">
        <v>424</v>
      </c>
      <c r="C688" s="4">
        <v>20</v>
      </c>
      <c r="D688" s="4">
        <v>7047593</v>
      </c>
      <c r="E688" s="5" t="s">
        <v>433</v>
      </c>
      <c r="F688" s="6">
        <v>117979</v>
      </c>
      <c r="G688" s="7">
        <v>0</v>
      </c>
      <c r="H688" s="7">
        <v>3755848</v>
      </c>
      <c r="J688" s="8" t="s">
        <v>48</v>
      </c>
      <c r="K688" s="8" t="e">
        <f>VLOOKUP(F688,'[2]Cartola 05-2026'!$J$2:$S$85,10,0)</f>
        <v>#N/A</v>
      </c>
    </row>
    <row r="689" spans="1:11" x14ac:dyDescent="0.3">
      <c r="A689" s="8">
        <v>688</v>
      </c>
      <c r="B689" s="4" t="s">
        <v>424</v>
      </c>
      <c r="C689" s="4">
        <v>20</v>
      </c>
      <c r="D689" s="4">
        <v>7049311</v>
      </c>
      <c r="E689" s="5" t="s">
        <v>434</v>
      </c>
      <c r="F689" s="6">
        <v>86049</v>
      </c>
      <c r="G689" s="7">
        <v>0</v>
      </c>
      <c r="H689" s="7">
        <v>3669799</v>
      </c>
      <c r="J689" s="8" t="s">
        <v>48</v>
      </c>
      <c r="K689" s="8" t="e">
        <f>VLOOKUP(F689,'[2]Cartola 05-2026'!$J$2:$S$85,10,0)</f>
        <v>#N/A</v>
      </c>
    </row>
    <row r="690" spans="1:11" x14ac:dyDescent="0.3">
      <c r="A690" s="8">
        <v>689</v>
      </c>
      <c r="B690" s="4" t="s">
        <v>424</v>
      </c>
      <c r="C690" s="4">
        <v>20</v>
      </c>
      <c r="D690" s="4">
        <v>7039119</v>
      </c>
      <c r="E690" s="5" t="s">
        <v>435</v>
      </c>
      <c r="F690" s="6">
        <v>270651</v>
      </c>
      <c r="G690" s="7">
        <v>0</v>
      </c>
      <c r="H690" s="7">
        <v>3399148</v>
      </c>
      <c r="J690" s="8" t="s">
        <v>48</v>
      </c>
      <c r="K690" s="8" t="e">
        <f>VLOOKUP(F690,'[2]Cartola 05-2026'!$J$2:$S$85,10,0)</f>
        <v>#N/A</v>
      </c>
    </row>
    <row r="691" spans="1:11" x14ac:dyDescent="0.3">
      <c r="A691" s="8">
        <v>690</v>
      </c>
      <c r="B691" s="4" t="s">
        <v>436</v>
      </c>
      <c r="C691" s="4">
        <v>20</v>
      </c>
      <c r="D691" s="4">
        <v>4385796</v>
      </c>
      <c r="E691" s="5" t="s">
        <v>437</v>
      </c>
      <c r="F691" s="6">
        <v>51690</v>
      </c>
      <c r="G691" s="7">
        <v>0</v>
      </c>
      <c r="H691" s="7">
        <v>3347458</v>
      </c>
      <c r="J691" s="8" t="s">
        <v>48</v>
      </c>
      <c r="K691" s="8" t="e">
        <f>VLOOKUP(F691,'[2]Cartola 05-2026'!$J$2:$S$85,10,0)</f>
        <v>#N/A</v>
      </c>
    </row>
    <row r="692" spans="1:11" x14ac:dyDescent="0.3">
      <c r="A692" s="8">
        <v>691</v>
      </c>
      <c r="B692" s="4" t="s">
        <v>436</v>
      </c>
      <c r="C692" s="4">
        <v>20</v>
      </c>
      <c r="D692" s="4">
        <v>3283783</v>
      </c>
      <c r="E692" s="5" t="s">
        <v>438</v>
      </c>
      <c r="F692" s="6">
        <v>59961</v>
      </c>
      <c r="G692" s="7">
        <v>0</v>
      </c>
      <c r="H692" s="7">
        <v>3287497</v>
      </c>
      <c r="J692" s="8" t="s">
        <v>48</v>
      </c>
      <c r="K692" s="8" t="e">
        <f>VLOOKUP(F692,'[2]Cartola 05-2026'!$J$2:$S$85,10,0)</f>
        <v>#N/A</v>
      </c>
    </row>
    <row r="693" spans="1:11" x14ac:dyDescent="0.3">
      <c r="A693" s="8">
        <v>692</v>
      </c>
      <c r="B693" s="4" t="s">
        <v>436</v>
      </c>
      <c r="C693" s="4">
        <v>20</v>
      </c>
      <c r="D693" s="4">
        <v>4981289</v>
      </c>
      <c r="E693" s="5" t="s">
        <v>439</v>
      </c>
      <c r="F693" s="6">
        <v>38984</v>
      </c>
      <c r="G693" s="7">
        <v>0</v>
      </c>
      <c r="H693" s="7">
        <v>3248513</v>
      </c>
      <c r="J693" s="8" t="s">
        <v>48</v>
      </c>
      <c r="K693" s="8" t="e">
        <f>VLOOKUP(F693,'[2]Cartola 05-2026'!$J$2:$S$85,10,0)</f>
        <v>#N/A</v>
      </c>
    </row>
    <row r="694" spans="1:11" x14ac:dyDescent="0.3">
      <c r="A694" s="8">
        <v>693</v>
      </c>
      <c r="B694" s="4" t="s">
        <v>440</v>
      </c>
      <c r="C694" s="4">
        <v>20</v>
      </c>
      <c r="D694" s="4">
        <v>1123726</v>
      </c>
      <c r="E694" s="5" t="s">
        <v>441</v>
      </c>
      <c r="F694" s="6">
        <v>99990</v>
      </c>
      <c r="G694" s="7">
        <v>0</v>
      </c>
      <c r="H694" s="7">
        <v>3148523</v>
      </c>
      <c r="J694" s="8" t="s">
        <v>48</v>
      </c>
      <c r="K694" s="8" t="e">
        <f>VLOOKUP(F694,'[2]Cartola 05-2026'!$J$2:$S$85,10,0)</f>
        <v>#N/A</v>
      </c>
    </row>
    <row r="695" spans="1:11" x14ac:dyDescent="0.3">
      <c r="A695" s="8">
        <v>675</v>
      </c>
      <c r="B695" s="4" t="s">
        <v>424</v>
      </c>
      <c r="C695" s="4">
        <v>20</v>
      </c>
      <c r="D695" s="4">
        <v>4329035</v>
      </c>
      <c r="E695" s="5" t="s">
        <v>371</v>
      </c>
      <c r="F695" s="6">
        <v>60000</v>
      </c>
      <c r="G695" s="7">
        <v>0</v>
      </c>
      <c r="H695" s="7">
        <v>6103793</v>
      </c>
      <c r="J695" s="8" t="s">
        <v>37</v>
      </c>
      <c r="K695" s="8">
        <f>VLOOKUP(F695,'[2]Cartola 05-2026'!$J$2:$S$85,10,0)</f>
        <v>0</v>
      </c>
    </row>
    <row r="696" spans="1:11" x14ac:dyDescent="0.3">
      <c r="A696" s="8">
        <v>694</v>
      </c>
      <c r="B696" s="4" t="s">
        <v>440</v>
      </c>
      <c r="C696" s="4">
        <v>20</v>
      </c>
      <c r="D696" s="4">
        <v>4329035</v>
      </c>
      <c r="E696" s="5" t="s">
        <v>371</v>
      </c>
      <c r="F696" s="6">
        <v>60000</v>
      </c>
      <c r="G696" s="7">
        <v>0</v>
      </c>
      <c r="H696" s="7">
        <v>3088523</v>
      </c>
      <c r="J696" s="8" t="s">
        <v>37</v>
      </c>
      <c r="K696" s="8">
        <f>VLOOKUP(F696,'[2]Cartola 05-2026'!$J$2:$S$85,10,0)</f>
        <v>0</v>
      </c>
    </row>
    <row r="697" spans="1:11" x14ac:dyDescent="0.3">
      <c r="A697" s="8">
        <v>696</v>
      </c>
      <c r="B697" s="4" t="s">
        <v>440</v>
      </c>
      <c r="C697" s="4">
        <v>21</v>
      </c>
      <c r="D697" s="4">
        <v>1524691</v>
      </c>
      <c r="E697" s="5" t="s">
        <v>443</v>
      </c>
      <c r="F697" s="6">
        <v>11400</v>
      </c>
      <c r="G697" s="7">
        <v>0</v>
      </c>
      <c r="H697" s="7">
        <v>3057123</v>
      </c>
      <c r="J697" s="8" t="s">
        <v>48</v>
      </c>
      <c r="K697" s="8" t="e">
        <f>VLOOKUP(F697,'[2]Cartola 05-2026'!$J$2:$S$85,10,0)</f>
        <v>#N/A</v>
      </c>
    </row>
    <row r="698" spans="1:11" x14ac:dyDescent="0.3">
      <c r="A698" s="8">
        <v>697</v>
      </c>
      <c r="B698" s="4" t="s">
        <v>440</v>
      </c>
      <c r="C698" s="4">
        <v>21</v>
      </c>
      <c r="D698" s="4">
        <v>4520744</v>
      </c>
      <c r="E698" s="5" t="s">
        <v>136</v>
      </c>
      <c r="F698" s="6">
        <v>121470</v>
      </c>
      <c r="G698" s="7">
        <v>0</v>
      </c>
      <c r="H698" s="7">
        <v>2935653</v>
      </c>
      <c r="J698" s="8" t="s">
        <v>48</v>
      </c>
      <c r="K698" s="8" t="e">
        <f>VLOOKUP(F698,'[2]Cartola 05-2026'!$J$2:$S$85,10,0)</f>
        <v>#N/A</v>
      </c>
    </row>
    <row r="699" spans="1:11" x14ac:dyDescent="0.3">
      <c r="A699" s="8">
        <v>698</v>
      </c>
      <c r="B699" s="4" t="s">
        <v>440</v>
      </c>
      <c r="C699" s="4">
        <v>21</v>
      </c>
      <c r="D699" s="4">
        <v>7033614</v>
      </c>
      <c r="E699" s="5" t="s">
        <v>40</v>
      </c>
      <c r="F699" s="6">
        <v>156236</v>
      </c>
      <c r="G699" s="7">
        <v>0</v>
      </c>
      <c r="H699" s="7">
        <v>2779417</v>
      </c>
      <c r="J699" s="8" t="s">
        <v>48</v>
      </c>
      <c r="K699" s="8" t="e">
        <f>VLOOKUP(F699,'[2]Cartola 05-2026'!$J$2:$S$85,10,0)</f>
        <v>#N/A</v>
      </c>
    </row>
    <row r="700" spans="1:11" x14ac:dyDescent="0.3">
      <c r="A700" s="8">
        <v>699</v>
      </c>
      <c r="B700" s="4" t="s">
        <v>440</v>
      </c>
      <c r="C700" s="4">
        <v>21</v>
      </c>
      <c r="D700" s="4">
        <v>7036837</v>
      </c>
      <c r="E700" s="5" t="s">
        <v>444</v>
      </c>
      <c r="F700" s="6">
        <v>202300</v>
      </c>
      <c r="G700" s="7">
        <v>0</v>
      </c>
      <c r="H700" s="7">
        <v>2577117</v>
      </c>
      <c r="J700" s="8" t="s">
        <v>48</v>
      </c>
      <c r="K700" s="8" t="e">
        <f>VLOOKUP(F700,'[2]Cartola 05-2026'!$J$2:$S$85,10,0)</f>
        <v>#N/A</v>
      </c>
    </row>
    <row r="701" spans="1:11" x14ac:dyDescent="0.3">
      <c r="A701" s="8">
        <v>700</v>
      </c>
      <c r="B701" s="4" t="s">
        <v>445</v>
      </c>
      <c r="C701" s="4">
        <v>21</v>
      </c>
      <c r="D701" s="4">
        <v>1137611</v>
      </c>
      <c r="E701" s="5" t="s">
        <v>272</v>
      </c>
      <c r="F701" s="6">
        <v>10540</v>
      </c>
      <c r="G701" s="7">
        <v>0</v>
      </c>
      <c r="H701" s="7">
        <v>2566577</v>
      </c>
      <c r="J701" s="8" t="s">
        <v>48</v>
      </c>
      <c r="K701" s="8" t="e">
        <f>VLOOKUP(F701,'[2]Cartola 05-2026'!$J$2:$S$85,10,0)</f>
        <v>#N/A</v>
      </c>
    </row>
    <row r="702" spans="1:11" x14ac:dyDescent="0.3">
      <c r="A702" s="8">
        <v>701</v>
      </c>
      <c r="B702" s="4" t="s">
        <v>445</v>
      </c>
      <c r="C702" s="4">
        <v>21</v>
      </c>
      <c r="D702" s="4">
        <v>4519061</v>
      </c>
      <c r="E702" s="5" t="s">
        <v>50</v>
      </c>
      <c r="F702" s="6">
        <v>600</v>
      </c>
      <c r="G702" s="7">
        <v>0</v>
      </c>
      <c r="H702" s="7">
        <v>2565977</v>
      </c>
      <c r="J702" s="8" t="s">
        <v>48</v>
      </c>
      <c r="K702" s="8" t="e">
        <f>VLOOKUP(F702,'[2]Cartola 05-2026'!$J$2:$S$85,10,0)</f>
        <v>#N/A</v>
      </c>
    </row>
    <row r="703" spans="1:11" x14ac:dyDescent="0.3">
      <c r="A703" s="8">
        <v>702</v>
      </c>
      <c r="B703" s="4" t="s">
        <v>445</v>
      </c>
      <c r="C703" s="4">
        <v>21</v>
      </c>
      <c r="D703" s="4">
        <v>4519061</v>
      </c>
      <c r="E703" s="5" t="s">
        <v>50</v>
      </c>
      <c r="F703" s="6">
        <v>9120</v>
      </c>
      <c r="G703" s="7">
        <v>0</v>
      </c>
      <c r="H703" s="7">
        <v>2556857</v>
      </c>
      <c r="J703" s="8" t="s">
        <v>48</v>
      </c>
      <c r="K703" s="8" t="e">
        <f>VLOOKUP(F703,'[2]Cartola 05-2026'!$J$2:$S$85,10,0)</f>
        <v>#N/A</v>
      </c>
    </row>
    <row r="704" spans="1:11" x14ac:dyDescent="0.3">
      <c r="A704" s="8">
        <v>703</v>
      </c>
      <c r="B704" s="4" t="s">
        <v>445</v>
      </c>
      <c r="C704" s="4">
        <v>21</v>
      </c>
      <c r="D704" s="4">
        <v>4329035</v>
      </c>
      <c r="E704" s="5" t="s">
        <v>371</v>
      </c>
      <c r="F704" s="6">
        <v>50000</v>
      </c>
      <c r="G704" s="7">
        <v>0</v>
      </c>
      <c r="H704" s="7">
        <v>2506857</v>
      </c>
      <c r="J704" s="8" t="s">
        <v>37</v>
      </c>
      <c r="K704" s="8" t="e">
        <f>VLOOKUP(F704,'[2]Cartola 05-2026'!$J$2:$S$85,10,0)</f>
        <v>#N/A</v>
      </c>
    </row>
    <row r="705" spans="1:11" x14ac:dyDescent="0.3">
      <c r="A705" s="8">
        <v>695</v>
      </c>
      <c r="B705" s="4" t="s">
        <v>440</v>
      </c>
      <c r="C705" s="4">
        <v>20</v>
      </c>
      <c r="D705" s="4"/>
      <c r="E705" s="5" t="s">
        <v>442</v>
      </c>
      <c r="F705" s="6">
        <v>20000</v>
      </c>
      <c r="G705" s="7">
        <v>0</v>
      </c>
      <c r="H705" s="7">
        <v>3068523</v>
      </c>
      <c r="J705" s="8" t="s">
        <v>54</v>
      </c>
      <c r="K705" s="8">
        <f>VLOOKUP(F705,'[2]Cartola 05-2026'!$J$2:$S$85,10,0)</f>
        <v>0</v>
      </c>
    </row>
    <row r="706" spans="1:11" x14ac:dyDescent="0.3">
      <c r="A706" s="8">
        <v>704</v>
      </c>
      <c r="B706" s="4" t="s">
        <v>445</v>
      </c>
      <c r="C706" s="4">
        <v>21</v>
      </c>
      <c r="D706" s="4">
        <v>7084068</v>
      </c>
      <c r="E706" s="5" t="s">
        <v>19</v>
      </c>
      <c r="F706" s="6">
        <v>38990</v>
      </c>
      <c r="G706" s="7">
        <v>0</v>
      </c>
      <c r="H706" s="7">
        <v>2467867</v>
      </c>
      <c r="J706" s="8" t="s">
        <v>20</v>
      </c>
      <c r="K706" s="8">
        <f>VLOOKUP(F706,'[2]Cartola 05-2026'!$J$2:$S$85,10,0)</f>
        <v>0</v>
      </c>
    </row>
    <row r="707" spans="1:11" x14ac:dyDescent="0.3">
      <c r="A707" s="8">
        <v>705</v>
      </c>
      <c r="B707" s="4" t="s">
        <v>446</v>
      </c>
      <c r="C707" s="4">
        <v>21</v>
      </c>
      <c r="D707" s="4">
        <v>1077</v>
      </c>
      <c r="E707" s="5" t="s">
        <v>12</v>
      </c>
      <c r="F707" s="6">
        <v>0</v>
      </c>
      <c r="G707" s="7">
        <v>6890000</v>
      </c>
      <c r="H707" s="7">
        <v>9357867</v>
      </c>
      <c r="J707" s="8" t="s">
        <v>13</v>
      </c>
      <c r="K707" s="8">
        <f>VLOOKUP(F707,'[2]Cartola 05-2026'!$J$2:$S$85,10,0)</f>
        <v>0</v>
      </c>
    </row>
    <row r="708" spans="1:11" x14ac:dyDescent="0.3">
      <c r="A708" s="8">
        <v>706</v>
      </c>
      <c r="B708" s="4" t="s">
        <v>446</v>
      </c>
      <c r="C708" s="4">
        <v>21</v>
      </c>
      <c r="D708" s="4">
        <v>1077</v>
      </c>
      <c r="E708" s="5" t="s">
        <v>12</v>
      </c>
      <c r="F708" s="6">
        <v>0</v>
      </c>
      <c r="G708" s="7">
        <v>6955040</v>
      </c>
      <c r="H708" s="7">
        <v>16312907</v>
      </c>
      <c r="J708" s="8" t="s">
        <v>13</v>
      </c>
      <c r="K708" s="8">
        <f>VLOOKUP(F708,'[2]Cartola 05-2026'!$J$2:$S$85,10,0)</f>
        <v>0</v>
      </c>
    </row>
    <row r="709" spans="1:11" x14ac:dyDescent="0.3">
      <c r="A709" s="8">
        <v>708</v>
      </c>
      <c r="B709" s="4" t="s">
        <v>446</v>
      </c>
      <c r="C709" s="4">
        <v>21</v>
      </c>
      <c r="D709" s="4">
        <v>4487246</v>
      </c>
      <c r="E709" s="5" t="s">
        <v>50</v>
      </c>
      <c r="F709" s="6">
        <v>3900</v>
      </c>
      <c r="G709" s="7">
        <v>0</v>
      </c>
      <c r="H709" s="7">
        <v>16239007</v>
      </c>
      <c r="J709" s="8" t="s">
        <v>48</v>
      </c>
      <c r="K709" s="8" t="e">
        <f>VLOOKUP(F709,'[2]Cartola 05-2026'!$J$2:$S$85,10,0)</f>
        <v>#N/A</v>
      </c>
    </row>
    <row r="710" spans="1:11" x14ac:dyDescent="0.3">
      <c r="A710" s="8">
        <v>707</v>
      </c>
      <c r="B710" s="4" t="s">
        <v>446</v>
      </c>
      <c r="C710" s="4">
        <v>21</v>
      </c>
      <c r="D710" s="4"/>
      <c r="E710" s="5" t="s">
        <v>447</v>
      </c>
      <c r="F710" s="6">
        <v>70000</v>
      </c>
      <c r="G710" s="7">
        <v>0</v>
      </c>
      <c r="H710" s="7">
        <v>16242907</v>
      </c>
      <c r="J710" s="8" t="s">
        <v>54</v>
      </c>
      <c r="K710" s="8" t="str">
        <f>VLOOKUP(F710,'[2]Cartola 05-2026'!$J$2:$S$85,10,0)</f>
        <v>F,161884</v>
      </c>
    </row>
    <row r="711" spans="1:11" x14ac:dyDescent="0.3">
      <c r="A711" s="8">
        <v>710</v>
      </c>
      <c r="B711" s="4" t="s">
        <v>446</v>
      </c>
      <c r="C711" s="4">
        <v>21</v>
      </c>
      <c r="D711" s="4">
        <v>7057091</v>
      </c>
      <c r="E711" s="5" t="s">
        <v>416</v>
      </c>
      <c r="F711" s="6">
        <v>4530420</v>
      </c>
      <c r="G711" s="7">
        <v>0</v>
      </c>
      <c r="H711" s="7">
        <v>6708587</v>
      </c>
      <c r="J711" s="8" t="s">
        <v>48</v>
      </c>
      <c r="K711" s="8" t="e">
        <f>VLOOKUP(F711,'[2]Cartola 05-2026'!$J$2:$S$85,10,0)</f>
        <v>#N/A</v>
      </c>
    </row>
    <row r="712" spans="1:11" x14ac:dyDescent="0.3">
      <c r="A712" s="8">
        <v>709</v>
      </c>
      <c r="B712" s="4" t="s">
        <v>446</v>
      </c>
      <c r="C712" s="4">
        <v>21</v>
      </c>
      <c r="D712" s="4">
        <v>7057092</v>
      </c>
      <c r="E712" s="5" t="s">
        <v>416</v>
      </c>
      <c r="F712" s="6">
        <v>5000000</v>
      </c>
      <c r="G712" s="7">
        <v>0</v>
      </c>
      <c r="H712" s="7">
        <v>11239007</v>
      </c>
      <c r="J712" s="8" t="s">
        <v>48</v>
      </c>
      <c r="K712" s="8" t="str">
        <f>VLOOKUP(F712,'[2]Cartola 05-2026'!$J$2:$S$85,10,0)</f>
        <v>PR-145</v>
      </c>
    </row>
    <row r="713" spans="1:11" x14ac:dyDescent="0.3">
      <c r="A713" s="8">
        <v>712</v>
      </c>
      <c r="B713" s="4" t="s">
        <v>446</v>
      </c>
      <c r="C713" s="4">
        <v>21</v>
      </c>
      <c r="D713" s="4">
        <v>7088404</v>
      </c>
      <c r="E713" s="5" t="s">
        <v>324</v>
      </c>
      <c r="F713" s="6">
        <v>4105500</v>
      </c>
      <c r="G713" s="7">
        <v>0</v>
      </c>
      <c r="H713" s="7">
        <v>2538087</v>
      </c>
      <c r="J713" s="8" t="s">
        <v>48</v>
      </c>
      <c r="K713" s="8" t="str">
        <f>VLOOKUP(F713,'[1]147-Melipilla'!$I$8:$N$13,6,0)</f>
        <v>Melipilla</v>
      </c>
    </row>
    <row r="714" spans="1:11" x14ac:dyDescent="0.3">
      <c r="A714" s="8">
        <v>713</v>
      </c>
      <c r="B714" s="4" t="s">
        <v>446</v>
      </c>
      <c r="C714" s="4">
        <v>21</v>
      </c>
      <c r="D714" s="4">
        <v>7089919</v>
      </c>
      <c r="E714" s="5" t="s">
        <v>448</v>
      </c>
      <c r="F714" s="6">
        <v>142800</v>
      </c>
      <c r="G714" s="7">
        <v>0</v>
      </c>
      <c r="H714" s="7">
        <v>2395287</v>
      </c>
      <c r="J714" s="8" t="s">
        <v>48</v>
      </c>
      <c r="K714" s="8" t="e">
        <f>VLOOKUP(F714,'[2]Cartola 05-2026'!$J$2:$S$85,10,0)</f>
        <v>#N/A</v>
      </c>
    </row>
    <row r="715" spans="1:11" x14ac:dyDescent="0.3">
      <c r="A715" s="8">
        <v>714</v>
      </c>
      <c r="B715" s="4" t="s">
        <v>449</v>
      </c>
      <c r="C715" s="4">
        <v>21</v>
      </c>
      <c r="D715" s="4">
        <v>1084280</v>
      </c>
      <c r="E715" s="5" t="s">
        <v>16</v>
      </c>
      <c r="F715" s="6">
        <v>93195</v>
      </c>
      <c r="G715" s="7">
        <v>0</v>
      </c>
      <c r="H715" s="7">
        <v>2302092</v>
      </c>
      <c r="J715" s="8" t="s">
        <v>48</v>
      </c>
      <c r="K715" s="8" t="e">
        <f>VLOOKUP(F715,'[2]Cartola 05-2026'!$J$2:$S$85,10,0)</f>
        <v>#N/A</v>
      </c>
    </row>
    <row r="716" spans="1:11" x14ac:dyDescent="0.3">
      <c r="A716" s="8">
        <v>711</v>
      </c>
      <c r="B716" s="4" t="s">
        <v>446</v>
      </c>
      <c r="C716" s="4">
        <v>21</v>
      </c>
      <c r="D716" s="4">
        <v>4329035</v>
      </c>
      <c r="E716" s="5" t="s">
        <v>371</v>
      </c>
      <c r="F716" s="6">
        <v>65000</v>
      </c>
      <c r="G716" s="7">
        <v>0</v>
      </c>
      <c r="H716" s="7">
        <v>6643587</v>
      </c>
      <c r="J716" s="8" t="s">
        <v>37</v>
      </c>
      <c r="K716" s="8" t="str">
        <f>VLOOKUP(F716,'[2]Cartola 05-2026'!$J$2:$S$85,10,0)</f>
        <v>F.163105</v>
      </c>
    </row>
    <row r="717" spans="1:11" x14ac:dyDescent="0.3">
      <c r="A717" s="8">
        <v>716</v>
      </c>
      <c r="B717" s="4" t="s">
        <v>449</v>
      </c>
      <c r="C717" s="4">
        <v>21</v>
      </c>
      <c r="D717" s="4">
        <v>7023035</v>
      </c>
      <c r="E717" s="5" t="s">
        <v>451</v>
      </c>
      <c r="F717" s="6">
        <v>1000</v>
      </c>
      <c r="G717" s="7">
        <v>0</v>
      </c>
      <c r="H717" s="7">
        <v>1301092</v>
      </c>
      <c r="J717" s="8" t="s">
        <v>48</v>
      </c>
      <c r="K717" s="8" t="e">
        <f>VLOOKUP(F717,'[2]Cartola 05-2026'!$J$2:$S$85,10,0)</f>
        <v>#N/A</v>
      </c>
    </row>
    <row r="718" spans="1:11" x14ac:dyDescent="0.3">
      <c r="A718" s="8">
        <v>717</v>
      </c>
      <c r="B718" s="4" t="s">
        <v>449</v>
      </c>
      <c r="C718" s="4">
        <v>21</v>
      </c>
      <c r="D718" s="4">
        <v>1084259</v>
      </c>
      <c r="E718" s="5" t="s">
        <v>44</v>
      </c>
      <c r="F718" s="6">
        <v>39949</v>
      </c>
      <c r="G718" s="7">
        <v>0</v>
      </c>
      <c r="H718" s="7">
        <v>1261143</v>
      </c>
      <c r="J718" s="8" t="s">
        <v>48</v>
      </c>
      <c r="K718" s="8" t="e">
        <f>VLOOKUP(F718,'[2]Cartola 05-2026'!$J$2:$S$85,10,0)</f>
        <v>#N/A</v>
      </c>
    </row>
    <row r="719" spans="1:11" x14ac:dyDescent="0.3">
      <c r="A719" s="8">
        <v>718</v>
      </c>
      <c r="B719" s="4" t="s">
        <v>449</v>
      </c>
      <c r="C719" s="4">
        <v>21</v>
      </c>
      <c r="D719" s="4">
        <v>1086290</v>
      </c>
      <c r="E719" s="5" t="s">
        <v>226</v>
      </c>
      <c r="F719" s="6">
        <v>28050</v>
      </c>
      <c r="G719" s="7">
        <v>0</v>
      </c>
      <c r="H719" s="7">
        <v>1233093</v>
      </c>
      <c r="J719" s="8" t="s">
        <v>48</v>
      </c>
      <c r="K719" s="8" t="e">
        <f>VLOOKUP(F719,'[2]Cartola 05-2026'!$J$2:$S$85,10,0)</f>
        <v>#N/A</v>
      </c>
    </row>
    <row r="720" spans="1:11" x14ac:dyDescent="0.3">
      <c r="A720" s="8">
        <v>719</v>
      </c>
      <c r="B720" s="4" t="s">
        <v>449</v>
      </c>
      <c r="C720" s="4">
        <v>21</v>
      </c>
      <c r="D720" s="4">
        <v>3631604</v>
      </c>
      <c r="E720" s="5" t="s">
        <v>113</v>
      </c>
      <c r="F720" s="6">
        <v>1550</v>
      </c>
      <c r="G720" s="7">
        <v>0</v>
      </c>
      <c r="H720" s="7">
        <v>1231543</v>
      </c>
      <c r="J720" s="8" t="s">
        <v>48</v>
      </c>
      <c r="K720" s="8" t="e">
        <f>VLOOKUP(F720,'[2]Cartola 05-2026'!$J$2:$S$85,10,0)</f>
        <v>#N/A</v>
      </c>
    </row>
    <row r="721" spans="1:11" x14ac:dyDescent="0.3">
      <c r="A721" s="8">
        <v>720</v>
      </c>
      <c r="B721" s="4" t="s">
        <v>449</v>
      </c>
      <c r="C721" s="4">
        <v>21</v>
      </c>
      <c r="D721" s="4">
        <v>4529736</v>
      </c>
      <c r="E721" s="5" t="s">
        <v>452</v>
      </c>
      <c r="F721" s="6">
        <v>92220</v>
      </c>
      <c r="G721" s="7">
        <v>0</v>
      </c>
      <c r="H721" s="7">
        <v>1139323</v>
      </c>
      <c r="J721" s="8" t="s">
        <v>48</v>
      </c>
      <c r="K721" s="8" t="e">
        <f>VLOOKUP(F721,'[2]Cartola 05-2026'!$J$2:$S$85,10,0)</f>
        <v>#N/A</v>
      </c>
    </row>
    <row r="722" spans="1:11" x14ac:dyDescent="0.3">
      <c r="A722" s="8">
        <v>721</v>
      </c>
      <c r="B722" s="4" t="s">
        <v>449</v>
      </c>
      <c r="C722" s="4">
        <v>21</v>
      </c>
      <c r="D722" s="4">
        <v>7031075</v>
      </c>
      <c r="E722" s="5" t="s">
        <v>453</v>
      </c>
      <c r="F722" s="6">
        <v>262433</v>
      </c>
      <c r="G722" s="7">
        <v>0</v>
      </c>
      <c r="H722" s="7">
        <v>876890</v>
      </c>
      <c r="J722" s="8" t="s">
        <v>48</v>
      </c>
      <c r="K722" s="8" t="e">
        <f>VLOOKUP(F722,'[2]Cartola 05-2026'!$J$2:$S$85,10,0)</f>
        <v>#N/A</v>
      </c>
    </row>
    <row r="723" spans="1:11" x14ac:dyDescent="0.3">
      <c r="A723" s="8">
        <v>722</v>
      </c>
      <c r="B723" s="4" t="s">
        <v>449</v>
      </c>
      <c r="C723" s="4">
        <v>21</v>
      </c>
      <c r="D723" s="4">
        <v>7031077</v>
      </c>
      <c r="E723" s="5" t="s">
        <v>454</v>
      </c>
      <c r="F723" s="6">
        <v>40518</v>
      </c>
      <c r="G723" s="7">
        <v>0</v>
      </c>
      <c r="H723" s="7">
        <v>836372</v>
      </c>
      <c r="J723" s="8" t="s">
        <v>48</v>
      </c>
      <c r="K723" s="8" t="e">
        <f>VLOOKUP(F723,'[2]Cartola 05-2026'!$J$2:$S$85,10,0)</f>
        <v>#N/A</v>
      </c>
    </row>
    <row r="724" spans="1:11" x14ac:dyDescent="0.3">
      <c r="A724" s="8">
        <v>723</v>
      </c>
      <c r="B724" s="4" t="s">
        <v>449</v>
      </c>
      <c r="C724" s="4">
        <v>21</v>
      </c>
      <c r="D724" s="4">
        <v>7031073</v>
      </c>
      <c r="E724" s="5" t="s">
        <v>454</v>
      </c>
      <c r="F724" s="6">
        <v>263949</v>
      </c>
      <c r="G724" s="7">
        <v>0</v>
      </c>
      <c r="H724" s="7">
        <v>572423</v>
      </c>
      <c r="J724" s="8" t="s">
        <v>48</v>
      </c>
      <c r="K724" s="8" t="e">
        <f>VLOOKUP(F724,'[2]Cartola 05-2026'!$J$2:$S$85,10,0)</f>
        <v>#N/A</v>
      </c>
    </row>
    <row r="725" spans="1:11" x14ac:dyDescent="0.3">
      <c r="A725" s="8">
        <v>724</v>
      </c>
      <c r="B725" s="4" t="s">
        <v>449</v>
      </c>
      <c r="C725" s="4">
        <v>21</v>
      </c>
      <c r="D725" s="4">
        <v>7031074</v>
      </c>
      <c r="E725" s="5" t="s">
        <v>455</v>
      </c>
      <c r="F725" s="6">
        <v>40110</v>
      </c>
      <c r="G725" s="7">
        <v>0</v>
      </c>
      <c r="H725" s="7">
        <v>532313</v>
      </c>
      <c r="J725" s="8" t="s">
        <v>48</v>
      </c>
      <c r="K725" s="8" t="e">
        <f>VLOOKUP(F725,'[2]Cartola 05-2026'!$J$2:$S$85,10,0)</f>
        <v>#N/A</v>
      </c>
    </row>
    <row r="726" spans="1:11" x14ac:dyDescent="0.3">
      <c r="A726" s="8">
        <v>725</v>
      </c>
      <c r="B726" s="4" t="s">
        <v>449</v>
      </c>
      <c r="C726" s="4">
        <v>21</v>
      </c>
      <c r="D726" s="4">
        <v>7031079</v>
      </c>
      <c r="E726" s="5" t="s">
        <v>455</v>
      </c>
      <c r="F726" s="6">
        <v>128396</v>
      </c>
      <c r="G726" s="7">
        <v>0</v>
      </c>
      <c r="H726" s="7">
        <v>403917</v>
      </c>
      <c r="J726" s="8" t="s">
        <v>48</v>
      </c>
      <c r="K726" s="8" t="e">
        <f>VLOOKUP(F726,'[2]Cartola 05-2026'!$J$2:$S$85,10,0)</f>
        <v>#N/A</v>
      </c>
    </row>
    <row r="727" spans="1:11" x14ac:dyDescent="0.3">
      <c r="A727" s="8">
        <v>726</v>
      </c>
      <c r="B727" s="4" t="s">
        <v>449</v>
      </c>
      <c r="C727" s="4">
        <v>21</v>
      </c>
      <c r="D727" s="4">
        <v>7031080</v>
      </c>
      <c r="E727" s="5" t="s">
        <v>454</v>
      </c>
      <c r="F727" s="6">
        <v>78241</v>
      </c>
      <c r="G727" s="7">
        <v>0</v>
      </c>
      <c r="H727" s="7">
        <v>325676</v>
      </c>
      <c r="J727" s="8" t="s">
        <v>48</v>
      </c>
      <c r="K727" s="8" t="e">
        <f>VLOOKUP(F727,'[2]Cartola 05-2026'!$J$2:$S$85,10,0)</f>
        <v>#N/A</v>
      </c>
    </row>
    <row r="728" spans="1:11" x14ac:dyDescent="0.3">
      <c r="A728" s="8">
        <v>727</v>
      </c>
      <c r="B728" s="4" t="s">
        <v>449</v>
      </c>
      <c r="C728" s="4">
        <v>21</v>
      </c>
      <c r="D728" s="4">
        <v>7031070</v>
      </c>
      <c r="E728" s="5" t="s">
        <v>455</v>
      </c>
      <c r="F728" s="6">
        <v>82016</v>
      </c>
      <c r="G728" s="7">
        <v>0</v>
      </c>
      <c r="H728" s="7">
        <v>243660</v>
      </c>
      <c r="J728" s="8" t="s">
        <v>48</v>
      </c>
      <c r="K728" s="8" t="e">
        <f>VLOOKUP(F728,'[2]Cartola 05-2026'!$J$2:$S$85,10,0)</f>
        <v>#N/A</v>
      </c>
    </row>
    <row r="729" spans="1:11" x14ac:dyDescent="0.3">
      <c r="A729" s="8">
        <v>728</v>
      </c>
      <c r="B729" s="4" t="s">
        <v>449</v>
      </c>
      <c r="C729" s="4">
        <v>21</v>
      </c>
      <c r="D729" s="4">
        <v>7031072</v>
      </c>
      <c r="E729" s="5" t="s">
        <v>454</v>
      </c>
      <c r="F729" s="6">
        <v>95327</v>
      </c>
      <c r="G729" s="7">
        <v>0</v>
      </c>
      <c r="H729" s="7">
        <v>148333</v>
      </c>
      <c r="J729" s="8" t="s">
        <v>48</v>
      </c>
      <c r="K729" s="8" t="e">
        <f>VLOOKUP(F729,'[2]Cartola 05-2026'!$J$2:$S$85,10,0)</f>
        <v>#N/A</v>
      </c>
    </row>
    <row r="730" spans="1:11" x14ac:dyDescent="0.3">
      <c r="A730" s="8">
        <v>729</v>
      </c>
      <c r="B730" s="4" t="s">
        <v>449</v>
      </c>
      <c r="C730" s="4">
        <v>21</v>
      </c>
      <c r="D730" s="4">
        <v>7031068</v>
      </c>
      <c r="E730" s="5" t="s">
        <v>454</v>
      </c>
      <c r="F730" s="6">
        <v>65967</v>
      </c>
      <c r="G730" s="7">
        <v>0</v>
      </c>
      <c r="H730" s="7">
        <v>82366</v>
      </c>
      <c r="J730" s="8" t="s">
        <v>48</v>
      </c>
      <c r="K730" s="8" t="e">
        <f>VLOOKUP(F730,'[2]Cartola 05-2026'!$J$2:$S$85,10,0)</f>
        <v>#N/A</v>
      </c>
    </row>
    <row r="731" spans="1:11" x14ac:dyDescent="0.3">
      <c r="A731" s="8">
        <v>730</v>
      </c>
      <c r="B731" s="4" t="s">
        <v>449</v>
      </c>
      <c r="C731" s="4">
        <v>21</v>
      </c>
      <c r="D731" s="4">
        <v>7031069</v>
      </c>
      <c r="E731" s="5" t="s">
        <v>453</v>
      </c>
      <c r="F731" s="6">
        <v>65608</v>
      </c>
      <c r="G731" s="7">
        <v>0</v>
      </c>
      <c r="H731" s="7">
        <v>16758</v>
      </c>
      <c r="J731" s="8" t="s">
        <v>48</v>
      </c>
      <c r="K731" s="8" t="e">
        <f>VLOOKUP(F731,'[2]Cartola 05-2026'!$J$2:$S$85,10,0)</f>
        <v>#N/A</v>
      </c>
    </row>
    <row r="732" spans="1:11" x14ac:dyDescent="0.3">
      <c r="A732" s="8">
        <v>715</v>
      </c>
      <c r="B732" s="4" t="s">
        <v>449</v>
      </c>
      <c r="C732" s="4">
        <v>21</v>
      </c>
      <c r="D732" s="4">
        <v>7005668</v>
      </c>
      <c r="E732" s="5" t="s">
        <v>450</v>
      </c>
      <c r="F732" s="6">
        <v>1000000</v>
      </c>
      <c r="G732" s="7">
        <v>0</v>
      </c>
      <c r="H732" s="7">
        <v>1302092</v>
      </c>
      <c r="J732" s="8" t="s">
        <v>48</v>
      </c>
      <c r="K732" s="8" t="str">
        <f>VLOOKUP(F732,'[2]Cartola 05-2026'!$J$2:$S$85,10,0)</f>
        <v>PR-150</v>
      </c>
    </row>
    <row r="733" spans="1:11" x14ac:dyDescent="0.3">
      <c r="A733" s="8">
        <v>731</v>
      </c>
      <c r="B733" s="4" t="s">
        <v>456</v>
      </c>
      <c r="C733" s="4">
        <v>21</v>
      </c>
      <c r="D733" s="4">
        <v>1077</v>
      </c>
      <c r="E733" s="5" t="s">
        <v>12</v>
      </c>
      <c r="F733" s="6">
        <v>0</v>
      </c>
      <c r="G733" s="7">
        <v>6878999</v>
      </c>
      <c r="H733" s="7">
        <v>6895757</v>
      </c>
      <c r="J733" s="8" t="s">
        <v>13</v>
      </c>
      <c r="K733" s="8">
        <f>VLOOKUP(F733,'[2]Cartola 05-2026'!$J$2:$S$85,10,0)</f>
        <v>0</v>
      </c>
    </row>
    <row r="734" spans="1:11" x14ac:dyDescent="0.3">
      <c r="A734" s="8">
        <v>733</v>
      </c>
      <c r="B734" s="10">
        <v>46184</v>
      </c>
      <c r="C734" s="4"/>
      <c r="D734" s="4">
        <v>4329035</v>
      </c>
      <c r="E734" s="5" t="s">
        <v>458</v>
      </c>
      <c r="F734" s="6">
        <v>65000</v>
      </c>
      <c r="G734" s="7">
        <v>0</v>
      </c>
      <c r="H734" s="7">
        <v>13710755</v>
      </c>
      <c r="J734" s="8" t="s">
        <v>37</v>
      </c>
      <c r="K734" s="8" t="str">
        <f>VLOOKUP(F734,'[2]Cartola 05-2026'!$J$2:$S$85,10,0)</f>
        <v>F.163105</v>
      </c>
    </row>
    <row r="735" spans="1:11" x14ac:dyDescent="0.3">
      <c r="A735" s="8">
        <v>734</v>
      </c>
      <c r="B735" s="10">
        <v>46184</v>
      </c>
      <c r="C735" s="4"/>
      <c r="D735" s="4">
        <v>4434418</v>
      </c>
      <c r="E735" s="5" t="s">
        <v>459</v>
      </c>
      <c r="F735" s="6">
        <v>6000</v>
      </c>
      <c r="G735" s="7">
        <v>0</v>
      </c>
      <c r="H735" s="7">
        <v>13704755</v>
      </c>
      <c r="J735" s="8" t="s">
        <v>48</v>
      </c>
      <c r="K735" s="8" t="e">
        <f>VLOOKUP(F735,'[2]Cartola 05-2026'!$J$2:$S$85,10,0)</f>
        <v>#N/A</v>
      </c>
    </row>
    <row r="736" spans="1:11" x14ac:dyDescent="0.3">
      <c r="A736" s="8">
        <v>735</v>
      </c>
      <c r="B736" s="10">
        <v>46185</v>
      </c>
      <c r="C736" s="4"/>
      <c r="D736" s="4">
        <v>1107806</v>
      </c>
      <c r="E736" s="5" t="s">
        <v>460</v>
      </c>
      <c r="F736" s="6">
        <v>35980</v>
      </c>
      <c r="G736" s="7">
        <v>0</v>
      </c>
      <c r="H736" s="7">
        <v>13668775</v>
      </c>
      <c r="J736" s="8" t="s">
        <v>48</v>
      </c>
      <c r="K736" s="8" t="e">
        <f>VLOOKUP(F736,'[2]Cartola 05-2026'!$J$2:$S$85,10,0)</f>
        <v>#N/A</v>
      </c>
    </row>
    <row r="737" spans="1:11" x14ac:dyDescent="0.3">
      <c r="A737" s="8">
        <v>736</v>
      </c>
      <c r="B737" s="10">
        <v>46185</v>
      </c>
      <c r="C737" s="4"/>
      <c r="D737" s="4">
        <v>7035526</v>
      </c>
      <c r="E737" s="5" t="s">
        <v>461</v>
      </c>
      <c r="F737" s="6">
        <v>4057500</v>
      </c>
      <c r="G737" s="7">
        <v>0</v>
      </c>
      <c r="H737" s="7">
        <v>9611275</v>
      </c>
      <c r="J737" s="8" t="s">
        <v>48</v>
      </c>
      <c r="K737" s="8" t="e">
        <f>VLOOKUP(F737,'[2]Cartola 05-2026'!$J$2:$S$85,10,0)</f>
        <v>#N/A</v>
      </c>
    </row>
    <row r="738" spans="1:11" x14ac:dyDescent="0.3">
      <c r="A738" s="8">
        <v>737</v>
      </c>
      <c r="B738" s="10">
        <v>46185</v>
      </c>
      <c r="C738" s="4"/>
      <c r="D738" s="4">
        <v>7047658</v>
      </c>
      <c r="E738" s="5" t="s">
        <v>462</v>
      </c>
      <c r="F738" s="6">
        <v>1000</v>
      </c>
      <c r="G738" s="7">
        <v>0</v>
      </c>
      <c r="H738" s="7">
        <v>9610275</v>
      </c>
      <c r="J738" s="8" t="s">
        <v>48</v>
      </c>
      <c r="K738" s="8" t="e">
        <f>VLOOKUP(F738,'[2]Cartola 05-2026'!$J$2:$S$85,10,0)</f>
        <v>#N/A</v>
      </c>
    </row>
    <row r="739" spans="1:11" x14ac:dyDescent="0.3">
      <c r="A739" s="8">
        <v>738</v>
      </c>
      <c r="B739" s="10">
        <v>46185</v>
      </c>
      <c r="C739" s="4"/>
      <c r="D739" s="4">
        <v>7044772</v>
      </c>
      <c r="E739" s="5" t="s">
        <v>19</v>
      </c>
      <c r="F739" s="6">
        <v>253672</v>
      </c>
      <c r="G739" s="7">
        <v>0</v>
      </c>
      <c r="H739" s="7">
        <v>9356603</v>
      </c>
      <c r="J739" s="8" t="s">
        <v>48</v>
      </c>
      <c r="K739" s="8" t="e">
        <f>VLOOKUP(F739,'[2]Cartola 05-2026'!$J$2:$S$85,10,0)</f>
        <v>#N/A</v>
      </c>
    </row>
    <row r="740" spans="1:11" x14ac:dyDescent="0.3">
      <c r="A740" s="8">
        <v>739</v>
      </c>
      <c r="B740" s="10">
        <v>46185</v>
      </c>
      <c r="C740" s="4"/>
      <c r="D740" s="4">
        <v>7035525</v>
      </c>
      <c r="E740" s="5" t="s">
        <v>463</v>
      </c>
      <c r="F740" s="6">
        <v>416500</v>
      </c>
      <c r="G740" s="7">
        <v>0</v>
      </c>
      <c r="H740" s="7">
        <v>8940103</v>
      </c>
      <c r="J740" s="8" t="s">
        <v>48</v>
      </c>
      <c r="K740" s="8" t="e">
        <f>VLOOKUP(F740,'[2]Cartola 05-2026'!$J$2:$S$85,10,0)</f>
        <v>#N/A</v>
      </c>
    </row>
    <row r="741" spans="1:11" x14ac:dyDescent="0.3">
      <c r="A741" s="8">
        <v>740</v>
      </c>
      <c r="B741" s="10">
        <v>46185</v>
      </c>
      <c r="C741" s="4"/>
      <c r="D741" s="4">
        <v>7035524</v>
      </c>
      <c r="E741" s="5" t="s">
        <v>464</v>
      </c>
      <c r="F741" s="6">
        <v>2975000</v>
      </c>
      <c r="G741" s="7">
        <v>0</v>
      </c>
      <c r="H741" s="7">
        <v>5965103</v>
      </c>
      <c r="J741" s="8" t="s">
        <v>48</v>
      </c>
      <c r="K741" s="8" t="e">
        <f>VLOOKUP(F741,'[2]Cartola 05-2026'!$J$2:$S$85,10,0)</f>
        <v>#N/A</v>
      </c>
    </row>
    <row r="742" spans="1:11" x14ac:dyDescent="0.3">
      <c r="A742" s="8">
        <v>741</v>
      </c>
      <c r="B742" s="10">
        <v>46188</v>
      </c>
      <c r="C742" s="4"/>
      <c r="D742" s="4">
        <v>1077</v>
      </c>
      <c r="E742" s="5" t="s">
        <v>465</v>
      </c>
      <c r="F742" s="6">
        <v>0</v>
      </c>
      <c r="G742" s="7">
        <v>435592</v>
      </c>
      <c r="H742" s="7">
        <v>6400695</v>
      </c>
      <c r="J742" s="9" t="s">
        <v>290</v>
      </c>
      <c r="K742" s="8">
        <f>VLOOKUP(F742,'[2]Cartola 05-2026'!$J$2:$S$85,10,0)</f>
        <v>0</v>
      </c>
    </row>
    <row r="743" spans="1:11" x14ac:dyDescent="0.3">
      <c r="A743" s="8">
        <v>742</v>
      </c>
      <c r="B743" s="10">
        <v>46188</v>
      </c>
      <c r="C743" s="4"/>
      <c r="D743" s="4">
        <v>1107806</v>
      </c>
      <c r="E743" s="5" t="s">
        <v>460</v>
      </c>
      <c r="F743" s="6">
        <v>56691</v>
      </c>
      <c r="G743" s="7">
        <v>0</v>
      </c>
      <c r="H743" s="7">
        <v>6344004</v>
      </c>
      <c r="J743" s="8" t="s">
        <v>48</v>
      </c>
      <c r="K743" s="8" t="e">
        <f>VLOOKUP(F743,'[2]Cartola 05-2026'!$J$2:$S$85,10,0)</f>
        <v>#N/A</v>
      </c>
    </row>
    <row r="744" spans="1:11" x14ac:dyDescent="0.3">
      <c r="A744" s="8">
        <v>743</v>
      </c>
      <c r="B744" s="10">
        <v>46188</v>
      </c>
      <c r="C744" s="4"/>
      <c r="D744" s="4">
        <v>1107806</v>
      </c>
      <c r="E744" s="5" t="s">
        <v>460</v>
      </c>
      <c r="F744" s="6">
        <v>201390</v>
      </c>
      <c r="G744" s="7">
        <v>0</v>
      </c>
      <c r="H744" s="7">
        <v>6142614</v>
      </c>
      <c r="J744" s="8" t="s">
        <v>48</v>
      </c>
      <c r="K744" s="8" t="e">
        <f>VLOOKUP(F744,'[2]Cartola 05-2026'!$J$2:$S$85,10,0)</f>
        <v>#N/A</v>
      </c>
    </row>
    <row r="745" spans="1:11" x14ac:dyDescent="0.3">
      <c r="A745" s="8">
        <v>744</v>
      </c>
      <c r="B745" s="10">
        <v>46188</v>
      </c>
      <c r="C745" s="4"/>
      <c r="D745" s="4">
        <v>4488031</v>
      </c>
      <c r="E745" s="5" t="s">
        <v>459</v>
      </c>
      <c r="F745" s="6">
        <v>3500</v>
      </c>
      <c r="G745" s="7">
        <v>0</v>
      </c>
      <c r="H745" s="7">
        <v>6139114</v>
      </c>
      <c r="J745" s="8" t="s">
        <v>48</v>
      </c>
      <c r="K745" s="8" t="e">
        <f>VLOOKUP(F745,'[2]Cartola 05-2026'!$J$2:$S$85,10,0)</f>
        <v>#N/A</v>
      </c>
    </row>
    <row r="746" spans="1:11" x14ac:dyDescent="0.3">
      <c r="A746" s="8">
        <v>745</v>
      </c>
      <c r="B746" s="10">
        <v>46188</v>
      </c>
      <c r="C746" s="4"/>
      <c r="D746" s="4">
        <v>4488031</v>
      </c>
      <c r="E746" s="5" t="s">
        <v>459</v>
      </c>
      <c r="F746" s="6">
        <v>14340</v>
      </c>
      <c r="G746" s="7">
        <v>0</v>
      </c>
      <c r="H746" s="7">
        <v>6124774</v>
      </c>
      <c r="J746" s="8" t="s">
        <v>48</v>
      </c>
      <c r="K746" s="8" t="e">
        <f>VLOOKUP(F746,'[2]Cartola 05-2026'!$J$2:$S$85,10,0)</f>
        <v>#N/A</v>
      </c>
    </row>
    <row r="747" spans="1:11" x14ac:dyDescent="0.3">
      <c r="A747" s="8">
        <v>746</v>
      </c>
      <c r="B747" s="10">
        <v>46188</v>
      </c>
      <c r="C747" s="4"/>
      <c r="D747" s="4">
        <v>1084614</v>
      </c>
      <c r="E747" s="5" t="s">
        <v>466</v>
      </c>
      <c r="F747" s="6">
        <v>23160</v>
      </c>
      <c r="G747" s="7">
        <v>0</v>
      </c>
      <c r="H747" s="7">
        <v>6101614</v>
      </c>
      <c r="J747" s="8" t="s">
        <v>48</v>
      </c>
      <c r="K747" s="8" t="e">
        <f>VLOOKUP(F747,'[2]Cartola 05-2026'!$J$2:$S$85,10,0)</f>
        <v>#N/A</v>
      </c>
    </row>
    <row r="748" spans="1:11" x14ac:dyDescent="0.3">
      <c r="A748" s="8">
        <v>747</v>
      </c>
      <c r="B748" s="10">
        <v>46188</v>
      </c>
      <c r="C748" s="4"/>
      <c r="D748" s="4">
        <v>1107806</v>
      </c>
      <c r="E748" s="5" t="s">
        <v>460</v>
      </c>
      <c r="F748" s="6">
        <v>125020</v>
      </c>
      <c r="G748" s="7">
        <v>0</v>
      </c>
      <c r="H748" s="7">
        <v>5976594</v>
      </c>
      <c r="J748" s="8" t="s">
        <v>48</v>
      </c>
      <c r="K748" s="8" t="e">
        <f>VLOOKUP(F748,'[2]Cartola 05-2026'!$J$2:$S$85,10,0)</f>
        <v>#N/A</v>
      </c>
    </row>
    <row r="749" spans="1:11" x14ac:dyDescent="0.3">
      <c r="A749" s="8">
        <v>748</v>
      </c>
      <c r="B749" s="10">
        <v>46188</v>
      </c>
      <c r="C749" s="4"/>
      <c r="D749" s="4">
        <v>4488031</v>
      </c>
      <c r="E749" s="5" t="s">
        <v>459</v>
      </c>
      <c r="F749" s="6">
        <v>19490</v>
      </c>
      <c r="G749" s="7">
        <v>0</v>
      </c>
      <c r="H749" s="7">
        <v>5957104</v>
      </c>
      <c r="J749" s="8" t="s">
        <v>48</v>
      </c>
      <c r="K749" s="8" t="e">
        <f>VLOOKUP(F749,'[2]Cartola 05-2026'!$J$2:$S$85,10,0)</f>
        <v>#N/A</v>
      </c>
    </row>
    <row r="750" spans="1:11" x14ac:dyDescent="0.3">
      <c r="A750" s="8">
        <v>749</v>
      </c>
      <c r="B750" s="10">
        <v>46188</v>
      </c>
      <c r="C750" s="4"/>
      <c r="D750" s="4">
        <v>1085159</v>
      </c>
      <c r="E750" s="5" t="s">
        <v>467</v>
      </c>
      <c r="F750" s="6">
        <v>81090</v>
      </c>
      <c r="G750" s="7">
        <v>0</v>
      </c>
      <c r="H750" s="7">
        <v>5876014</v>
      </c>
      <c r="J750" s="8" t="s">
        <v>48</v>
      </c>
      <c r="K750" s="8" t="e">
        <f>VLOOKUP(F750,'[2]Cartola 05-2026'!$J$2:$S$85,10,0)</f>
        <v>#N/A</v>
      </c>
    </row>
    <row r="751" spans="1:11" x14ac:dyDescent="0.3">
      <c r="A751" s="8">
        <v>750</v>
      </c>
      <c r="B751" s="10">
        <v>46188</v>
      </c>
      <c r="C751" s="4"/>
      <c r="D751" s="4">
        <v>4356466</v>
      </c>
      <c r="E751" s="5" t="s">
        <v>459</v>
      </c>
      <c r="F751" s="6">
        <v>17000</v>
      </c>
      <c r="G751" s="7">
        <v>0</v>
      </c>
      <c r="H751" s="7">
        <v>5859014</v>
      </c>
      <c r="J751" s="8" t="s">
        <v>48</v>
      </c>
      <c r="K751" s="8" t="e">
        <f>VLOOKUP(F751,'[2]Cartola 05-2026'!$J$2:$S$85,10,0)</f>
        <v>#N/A</v>
      </c>
    </row>
    <row r="752" spans="1:11" x14ac:dyDescent="0.3">
      <c r="A752" s="8">
        <v>751</v>
      </c>
      <c r="B752" s="10">
        <v>46188</v>
      </c>
      <c r="C752" s="4"/>
      <c r="D752" s="4">
        <v>4525677</v>
      </c>
      <c r="E752" s="5" t="s">
        <v>468</v>
      </c>
      <c r="F752" s="6">
        <v>7980</v>
      </c>
      <c r="G752" s="7">
        <v>0</v>
      </c>
      <c r="H752" s="7">
        <v>5851034</v>
      </c>
      <c r="J752" s="8" t="s">
        <v>48</v>
      </c>
      <c r="K752" s="8" t="e">
        <f>VLOOKUP(F752,'[2]Cartola 05-2026'!$J$2:$S$85,10,0)</f>
        <v>#N/A</v>
      </c>
    </row>
    <row r="753" spans="1:11" x14ac:dyDescent="0.3">
      <c r="A753" s="8">
        <v>752</v>
      </c>
      <c r="B753" s="10">
        <v>46189</v>
      </c>
      <c r="C753" s="4"/>
      <c r="D753" s="4">
        <v>3</v>
      </c>
      <c r="E753" s="5" t="s">
        <v>469</v>
      </c>
      <c r="F753" s="6">
        <v>40000</v>
      </c>
      <c r="G753" s="7">
        <v>0</v>
      </c>
      <c r="H753" s="7">
        <v>5811034</v>
      </c>
      <c r="J753" s="8" t="s">
        <v>54</v>
      </c>
      <c r="K753" s="8">
        <f>VLOOKUP(F753,'[2]Cartola 05-2026'!$J$2:$S$85,10,0)</f>
        <v>0</v>
      </c>
    </row>
    <row r="754" spans="1:11" x14ac:dyDescent="0.3">
      <c r="A754" s="8">
        <v>753</v>
      </c>
      <c r="B754" s="10">
        <v>46189</v>
      </c>
      <c r="C754" s="4"/>
      <c r="D754" s="4">
        <v>4329035</v>
      </c>
      <c r="E754" s="5" t="s">
        <v>458</v>
      </c>
      <c r="F754" s="6">
        <v>65000</v>
      </c>
      <c r="G754" s="7">
        <v>0</v>
      </c>
      <c r="H754" s="7">
        <v>5746034</v>
      </c>
      <c r="J754" s="8" t="s">
        <v>37</v>
      </c>
      <c r="K754" s="8" t="str">
        <f>VLOOKUP(F754,'[2]Cartola 05-2026'!$J$2:$S$85,10,0)</f>
        <v>F.163105</v>
      </c>
    </row>
    <row r="755" spans="1:11" x14ac:dyDescent="0.3">
      <c r="A755" s="8">
        <v>754</v>
      </c>
      <c r="B755" s="10">
        <v>46189</v>
      </c>
      <c r="C755" s="4"/>
      <c r="D755" s="4">
        <v>7088634</v>
      </c>
      <c r="E755" s="5" t="s">
        <v>470</v>
      </c>
      <c r="F755" s="6">
        <v>164220</v>
      </c>
      <c r="G755" s="7">
        <v>0</v>
      </c>
      <c r="H755" s="7">
        <v>5581814</v>
      </c>
      <c r="J755" s="8" t="s">
        <v>48</v>
      </c>
      <c r="K755" s="8" t="e">
        <f>VLOOKUP(F755,'[2]Cartola 05-2026'!$J$2:$S$85,10,0)</f>
        <v>#N/A</v>
      </c>
    </row>
    <row r="756" spans="1:11" x14ac:dyDescent="0.3">
      <c r="A756" s="8">
        <v>755</v>
      </c>
      <c r="B756" s="10">
        <v>46189</v>
      </c>
      <c r="C756" s="4"/>
      <c r="D756" s="4">
        <v>7025589</v>
      </c>
      <c r="E756" s="5" t="s">
        <v>471</v>
      </c>
      <c r="F756" s="6">
        <v>266560</v>
      </c>
      <c r="G756" s="7">
        <v>0</v>
      </c>
      <c r="H756" s="7">
        <v>5315254</v>
      </c>
      <c r="J756" s="8" t="s">
        <v>48</v>
      </c>
      <c r="K756" s="8" t="e">
        <f>VLOOKUP(F756,'[2]Cartola 05-2026'!$J$2:$S$85,10,0)</f>
        <v>#N/A</v>
      </c>
    </row>
    <row r="757" spans="1:11" x14ac:dyDescent="0.3">
      <c r="A757" s="8">
        <v>756</v>
      </c>
      <c r="B757" s="10">
        <v>46189</v>
      </c>
      <c r="C757" s="4"/>
      <c r="D757" s="4">
        <v>1086273</v>
      </c>
      <c r="E757" s="5" t="s">
        <v>472</v>
      </c>
      <c r="F757" s="6">
        <v>17500</v>
      </c>
      <c r="G757" s="7">
        <v>0</v>
      </c>
      <c r="H757" s="7">
        <v>5297754</v>
      </c>
      <c r="J757" s="8" t="s">
        <v>48</v>
      </c>
      <c r="K757" s="8" t="e">
        <f>VLOOKUP(F757,'[2]Cartola 05-2026'!$J$2:$S$85,10,0)</f>
        <v>#N/A</v>
      </c>
    </row>
    <row r="758" spans="1:11" x14ac:dyDescent="0.3">
      <c r="A758" s="8">
        <v>757</v>
      </c>
      <c r="B758" s="10">
        <v>46189</v>
      </c>
      <c r="C758" s="4"/>
      <c r="D758" s="4">
        <v>4488031</v>
      </c>
      <c r="E758" s="5" t="s">
        <v>459</v>
      </c>
      <c r="F758" s="6">
        <v>30525</v>
      </c>
      <c r="G758" s="7">
        <v>0</v>
      </c>
      <c r="H758" s="7">
        <v>5267229</v>
      </c>
      <c r="J758" s="8" t="s">
        <v>48</v>
      </c>
      <c r="K758" s="8" t="e">
        <f>VLOOKUP(F758,'[2]Cartola 05-2026'!$J$2:$S$85,10,0)</f>
        <v>#N/A</v>
      </c>
    </row>
    <row r="759" spans="1:11" x14ac:dyDescent="0.3">
      <c r="A759" s="8">
        <v>758</v>
      </c>
      <c r="B759" s="10">
        <v>46190</v>
      </c>
      <c r="C759" s="4"/>
      <c r="D759" s="4">
        <v>1076</v>
      </c>
      <c r="E759" s="5" t="s">
        <v>473</v>
      </c>
      <c r="F759" s="6">
        <v>271766</v>
      </c>
      <c r="G759" s="7">
        <v>0</v>
      </c>
      <c r="H759" s="7">
        <v>4995463</v>
      </c>
      <c r="J759" s="8" t="s">
        <v>176</v>
      </c>
      <c r="K759" s="8" t="e">
        <f>VLOOKUP(F759,'[2]Cartola 05-2026'!$J$2:$S$85,10,0)</f>
        <v>#N/A</v>
      </c>
    </row>
    <row r="762" spans="1:11" x14ac:dyDescent="0.3">
      <c r="F762" s="12">
        <v>24434080</v>
      </c>
    </row>
    <row r="763" spans="1:11" x14ac:dyDescent="0.3">
      <c r="F763" s="12">
        <v>24498663</v>
      </c>
    </row>
    <row r="764" spans="1:11" x14ac:dyDescent="0.3">
      <c r="F764" s="12">
        <f>+F762-F763</f>
        <v>-64583</v>
      </c>
    </row>
  </sheetData>
  <sortState xmlns:xlrd2="http://schemas.microsoft.com/office/spreadsheetml/2017/richdata2" ref="A2:K759">
    <sortCondition ref="A2:A75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ICA</dc:creator>
  <cp:lastModifiedBy>Grupo ICA</cp:lastModifiedBy>
  <dcterms:created xsi:type="dcterms:W3CDTF">2026-06-19T14:24:41Z</dcterms:created>
  <dcterms:modified xsi:type="dcterms:W3CDTF">2026-06-19T20:59:16Z</dcterms:modified>
</cp:coreProperties>
</file>